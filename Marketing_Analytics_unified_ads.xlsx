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pawanreddy/Downloads/"/>
    </mc:Choice>
  </mc:AlternateContent>
  <xr:revisionPtr revIDLastSave="0" documentId="8_{82DBF999-3CF7-9940-A928-1FBACB7DC603}" xr6:coauthVersionLast="47" xr6:coauthVersionMax="47" xr10:uidLastSave="{00000000-0000-0000-0000-000000000000}"/>
  <bookViews>
    <workbookView xWindow="0" yWindow="660" windowWidth="30240" windowHeight="17680" xr2:uid="{00000000-000D-0000-FFFF-FFFF00000000}"/>
  </bookViews>
  <sheets>
    <sheet name="Facebook" sheetId="1" r:id="rId1"/>
    <sheet name="Google" sheetId="2" r:id="rId2"/>
    <sheet name="TikTok" sheetId="3" r:id="rId3"/>
    <sheet name="Unified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1" i="4" l="1"/>
  <c r="F331" i="4"/>
  <c r="E331" i="4"/>
  <c r="D331" i="4"/>
  <c r="C331" i="4"/>
  <c r="B331" i="4"/>
  <c r="A331" i="4"/>
  <c r="G330" i="4"/>
  <c r="F330" i="4"/>
  <c r="E330" i="4"/>
  <c r="D330" i="4"/>
  <c r="C330" i="4"/>
  <c r="B330" i="4"/>
  <c r="A330" i="4"/>
  <c r="G329" i="4"/>
  <c r="F329" i="4"/>
  <c r="E329" i="4"/>
  <c r="D329" i="4"/>
  <c r="C329" i="4"/>
  <c r="B329" i="4"/>
  <c r="A329" i="4"/>
  <c r="G328" i="4"/>
  <c r="F328" i="4"/>
  <c r="E328" i="4"/>
  <c r="D328" i="4"/>
  <c r="C328" i="4"/>
  <c r="B328" i="4"/>
  <c r="A328" i="4"/>
  <c r="G327" i="4"/>
  <c r="F327" i="4"/>
  <c r="E327" i="4"/>
  <c r="D327" i="4"/>
  <c r="C327" i="4"/>
  <c r="B327" i="4"/>
  <c r="A327" i="4"/>
  <c r="G326" i="4"/>
  <c r="F326" i="4"/>
  <c r="E326" i="4"/>
  <c r="D326" i="4"/>
  <c r="C326" i="4"/>
  <c r="B326" i="4"/>
  <c r="A326" i="4"/>
  <c r="G325" i="4"/>
  <c r="F325" i="4"/>
  <c r="E325" i="4"/>
  <c r="D325" i="4"/>
  <c r="C325" i="4"/>
  <c r="B325" i="4"/>
  <c r="A325" i="4"/>
  <c r="G324" i="4"/>
  <c r="F324" i="4"/>
  <c r="E324" i="4"/>
  <c r="D324" i="4"/>
  <c r="C324" i="4"/>
  <c r="B324" i="4"/>
  <c r="A324" i="4"/>
  <c r="G323" i="4"/>
  <c r="F323" i="4"/>
  <c r="E323" i="4"/>
  <c r="D323" i="4"/>
  <c r="C323" i="4"/>
  <c r="B323" i="4"/>
  <c r="A323" i="4"/>
  <c r="G322" i="4"/>
  <c r="F322" i="4"/>
  <c r="E322" i="4"/>
  <c r="D322" i="4"/>
  <c r="C322" i="4"/>
  <c r="B322" i="4"/>
  <c r="A322" i="4"/>
  <c r="G321" i="4"/>
  <c r="F321" i="4"/>
  <c r="E321" i="4"/>
  <c r="D321" i="4"/>
  <c r="C321" i="4"/>
  <c r="B321" i="4"/>
  <c r="A321" i="4"/>
  <c r="G320" i="4"/>
  <c r="F320" i="4"/>
  <c r="E320" i="4"/>
  <c r="D320" i="4"/>
  <c r="C320" i="4"/>
  <c r="B320" i="4"/>
  <c r="A320" i="4"/>
  <c r="G319" i="4"/>
  <c r="F319" i="4"/>
  <c r="E319" i="4"/>
  <c r="D319" i="4"/>
  <c r="C319" i="4"/>
  <c r="B319" i="4"/>
  <c r="A319" i="4"/>
  <c r="G318" i="4"/>
  <c r="F318" i="4"/>
  <c r="E318" i="4"/>
  <c r="D318" i="4"/>
  <c r="C318" i="4"/>
  <c r="B318" i="4"/>
  <c r="A318" i="4"/>
  <c r="G317" i="4"/>
  <c r="F317" i="4"/>
  <c r="E317" i="4"/>
  <c r="D317" i="4"/>
  <c r="C317" i="4"/>
  <c r="B317" i="4"/>
  <c r="A317" i="4"/>
  <c r="G316" i="4"/>
  <c r="F316" i="4"/>
  <c r="E316" i="4"/>
  <c r="D316" i="4"/>
  <c r="C316" i="4"/>
  <c r="B316" i="4"/>
  <c r="A316" i="4"/>
  <c r="G315" i="4"/>
  <c r="F315" i="4"/>
  <c r="E315" i="4"/>
  <c r="D315" i="4"/>
  <c r="C315" i="4"/>
  <c r="B315" i="4"/>
  <c r="A315" i="4"/>
  <c r="G314" i="4"/>
  <c r="F314" i="4"/>
  <c r="E314" i="4"/>
  <c r="D314" i="4"/>
  <c r="C314" i="4"/>
  <c r="B314" i="4"/>
  <c r="A314" i="4"/>
  <c r="G313" i="4"/>
  <c r="F313" i="4"/>
  <c r="E313" i="4"/>
  <c r="D313" i="4"/>
  <c r="C313" i="4"/>
  <c r="B313" i="4"/>
  <c r="A313" i="4"/>
  <c r="G312" i="4"/>
  <c r="F312" i="4"/>
  <c r="E312" i="4"/>
  <c r="D312" i="4"/>
  <c r="C312" i="4"/>
  <c r="B312" i="4"/>
  <c r="A312" i="4"/>
  <c r="G311" i="4"/>
  <c r="F311" i="4"/>
  <c r="E311" i="4"/>
  <c r="D311" i="4"/>
  <c r="C311" i="4"/>
  <c r="B311" i="4"/>
  <c r="A311" i="4"/>
  <c r="G310" i="4"/>
  <c r="F310" i="4"/>
  <c r="E310" i="4"/>
  <c r="D310" i="4"/>
  <c r="C310" i="4"/>
  <c r="B310" i="4"/>
  <c r="A310" i="4"/>
  <c r="G309" i="4"/>
  <c r="F309" i="4"/>
  <c r="E309" i="4"/>
  <c r="D309" i="4"/>
  <c r="C309" i="4"/>
  <c r="B309" i="4"/>
  <c r="A309" i="4"/>
  <c r="G308" i="4"/>
  <c r="F308" i="4"/>
  <c r="E308" i="4"/>
  <c r="D308" i="4"/>
  <c r="C308" i="4"/>
  <c r="B308" i="4"/>
  <c r="A308" i="4"/>
  <c r="G307" i="4"/>
  <c r="F307" i="4"/>
  <c r="E307" i="4"/>
  <c r="D307" i="4"/>
  <c r="C307" i="4"/>
  <c r="B307" i="4"/>
  <c r="A307" i="4"/>
  <c r="G306" i="4"/>
  <c r="F306" i="4"/>
  <c r="E306" i="4"/>
  <c r="D306" i="4"/>
  <c r="C306" i="4"/>
  <c r="B306" i="4"/>
  <c r="A306" i="4"/>
  <c r="G305" i="4"/>
  <c r="F305" i="4"/>
  <c r="E305" i="4"/>
  <c r="D305" i="4"/>
  <c r="C305" i="4"/>
  <c r="B305" i="4"/>
  <c r="A305" i="4"/>
  <c r="G304" i="4"/>
  <c r="F304" i="4"/>
  <c r="E304" i="4"/>
  <c r="D304" i="4"/>
  <c r="C304" i="4"/>
  <c r="B304" i="4"/>
  <c r="A304" i="4"/>
  <c r="G303" i="4"/>
  <c r="F303" i="4"/>
  <c r="E303" i="4"/>
  <c r="D303" i="4"/>
  <c r="C303" i="4"/>
  <c r="B303" i="4"/>
  <c r="A303" i="4"/>
  <c r="G302" i="4"/>
  <c r="F302" i="4"/>
  <c r="E302" i="4"/>
  <c r="D302" i="4"/>
  <c r="C302" i="4"/>
  <c r="B302" i="4"/>
  <c r="A302" i="4"/>
  <c r="G301" i="4"/>
  <c r="F301" i="4"/>
  <c r="E301" i="4"/>
  <c r="D301" i="4"/>
  <c r="C301" i="4"/>
  <c r="B301" i="4"/>
  <c r="A301" i="4"/>
  <c r="G300" i="4"/>
  <c r="F300" i="4"/>
  <c r="E300" i="4"/>
  <c r="D300" i="4"/>
  <c r="C300" i="4"/>
  <c r="B300" i="4"/>
  <c r="A300" i="4"/>
  <c r="G299" i="4"/>
  <c r="F299" i="4"/>
  <c r="E299" i="4"/>
  <c r="D299" i="4"/>
  <c r="C299" i="4"/>
  <c r="B299" i="4"/>
  <c r="A299" i="4"/>
  <c r="G298" i="4"/>
  <c r="F298" i="4"/>
  <c r="E298" i="4"/>
  <c r="D298" i="4"/>
  <c r="C298" i="4"/>
  <c r="B298" i="4"/>
  <c r="A298" i="4"/>
  <c r="G297" i="4"/>
  <c r="F297" i="4"/>
  <c r="E297" i="4"/>
  <c r="D297" i="4"/>
  <c r="C297" i="4"/>
  <c r="B297" i="4"/>
  <c r="A297" i="4"/>
  <c r="G296" i="4"/>
  <c r="F296" i="4"/>
  <c r="E296" i="4"/>
  <c r="D296" i="4"/>
  <c r="C296" i="4"/>
  <c r="B296" i="4"/>
  <c r="A296" i="4"/>
  <c r="G295" i="4"/>
  <c r="F295" i="4"/>
  <c r="E295" i="4"/>
  <c r="D295" i="4"/>
  <c r="C295" i="4"/>
  <c r="B295" i="4"/>
  <c r="A295" i="4"/>
  <c r="G294" i="4"/>
  <c r="F294" i="4"/>
  <c r="E294" i="4"/>
  <c r="D294" i="4"/>
  <c r="C294" i="4"/>
  <c r="B294" i="4"/>
  <c r="A294" i="4"/>
  <c r="G293" i="4"/>
  <c r="F293" i="4"/>
  <c r="E293" i="4"/>
  <c r="D293" i="4"/>
  <c r="C293" i="4"/>
  <c r="B293" i="4"/>
  <c r="A293" i="4"/>
  <c r="G292" i="4"/>
  <c r="F292" i="4"/>
  <c r="E292" i="4"/>
  <c r="D292" i="4"/>
  <c r="C292" i="4"/>
  <c r="B292" i="4"/>
  <c r="A292" i="4"/>
  <c r="G291" i="4"/>
  <c r="F291" i="4"/>
  <c r="E291" i="4"/>
  <c r="D291" i="4"/>
  <c r="C291" i="4"/>
  <c r="B291" i="4"/>
  <c r="A291" i="4"/>
  <c r="G290" i="4"/>
  <c r="F290" i="4"/>
  <c r="E290" i="4"/>
  <c r="D290" i="4"/>
  <c r="C290" i="4"/>
  <c r="B290" i="4"/>
  <c r="A290" i="4"/>
  <c r="G289" i="4"/>
  <c r="F289" i="4"/>
  <c r="E289" i="4"/>
  <c r="D289" i="4"/>
  <c r="C289" i="4"/>
  <c r="B289" i="4"/>
  <c r="A289" i="4"/>
  <c r="G288" i="4"/>
  <c r="F288" i="4"/>
  <c r="E288" i="4"/>
  <c r="D288" i="4"/>
  <c r="C288" i="4"/>
  <c r="B288" i="4"/>
  <c r="A288" i="4"/>
  <c r="G287" i="4"/>
  <c r="F287" i="4"/>
  <c r="E287" i="4"/>
  <c r="D287" i="4"/>
  <c r="C287" i="4"/>
  <c r="B287" i="4"/>
  <c r="A287" i="4"/>
  <c r="G286" i="4"/>
  <c r="F286" i="4"/>
  <c r="E286" i="4"/>
  <c r="D286" i="4"/>
  <c r="C286" i="4"/>
  <c r="B286" i="4"/>
  <c r="A286" i="4"/>
  <c r="G285" i="4"/>
  <c r="F285" i="4"/>
  <c r="E285" i="4"/>
  <c r="D285" i="4"/>
  <c r="C285" i="4"/>
  <c r="B285" i="4"/>
  <c r="A285" i="4"/>
  <c r="G284" i="4"/>
  <c r="F284" i="4"/>
  <c r="E284" i="4"/>
  <c r="D284" i="4"/>
  <c r="C284" i="4"/>
  <c r="B284" i="4"/>
  <c r="A284" i="4"/>
  <c r="G283" i="4"/>
  <c r="F283" i="4"/>
  <c r="E283" i="4"/>
  <c r="D283" i="4"/>
  <c r="C283" i="4"/>
  <c r="B283" i="4"/>
  <c r="A283" i="4"/>
  <c r="G282" i="4"/>
  <c r="F282" i="4"/>
  <c r="E282" i="4"/>
  <c r="D282" i="4"/>
  <c r="C282" i="4"/>
  <c r="B282" i="4"/>
  <c r="A282" i="4"/>
  <c r="G281" i="4"/>
  <c r="F281" i="4"/>
  <c r="E281" i="4"/>
  <c r="D281" i="4"/>
  <c r="C281" i="4"/>
  <c r="B281" i="4"/>
  <c r="A281" i="4"/>
  <c r="G280" i="4"/>
  <c r="F280" i="4"/>
  <c r="E280" i="4"/>
  <c r="D280" i="4"/>
  <c r="C280" i="4"/>
  <c r="B280" i="4"/>
  <c r="A280" i="4"/>
  <c r="G279" i="4"/>
  <c r="F279" i="4"/>
  <c r="E279" i="4"/>
  <c r="D279" i="4"/>
  <c r="C279" i="4"/>
  <c r="B279" i="4"/>
  <c r="A279" i="4"/>
  <c r="G278" i="4"/>
  <c r="F278" i="4"/>
  <c r="E278" i="4"/>
  <c r="D278" i="4"/>
  <c r="C278" i="4"/>
  <c r="B278" i="4"/>
  <c r="A278" i="4"/>
  <c r="G277" i="4"/>
  <c r="F277" i="4"/>
  <c r="E277" i="4"/>
  <c r="D277" i="4"/>
  <c r="C277" i="4"/>
  <c r="B277" i="4"/>
  <c r="A277" i="4"/>
  <c r="G276" i="4"/>
  <c r="F276" i="4"/>
  <c r="E276" i="4"/>
  <c r="D276" i="4"/>
  <c r="C276" i="4"/>
  <c r="B276" i="4"/>
  <c r="A276" i="4"/>
  <c r="G275" i="4"/>
  <c r="F275" i="4"/>
  <c r="E275" i="4"/>
  <c r="D275" i="4"/>
  <c r="C275" i="4"/>
  <c r="B275" i="4"/>
  <c r="A275" i="4"/>
  <c r="G274" i="4"/>
  <c r="F274" i="4"/>
  <c r="E274" i="4"/>
  <c r="D274" i="4"/>
  <c r="C274" i="4"/>
  <c r="B274" i="4"/>
  <c r="A274" i="4"/>
  <c r="G273" i="4"/>
  <c r="F273" i="4"/>
  <c r="E273" i="4"/>
  <c r="D273" i="4"/>
  <c r="C273" i="4"/>
  <c r="B273" i="4"/>
  <c r="A273" i="4"/>
  <c r="G272" i="4"/>
  <c r="F272" i="4"/>
  <c r="E272" i="4"/>
  <c r="D272" i="4"/>
  <c r="C272" i="4"/>
  <c r="B272" i="4"/>
  <c r="A272" i="4"/>
  <c r="G271" i="4"/>
  <c r="F271" i="4"/>
  <c r="E271" i="4"/>
  <c r="D271" i="4"/>
  <c r="C271" i="4"/>
  <c r="B271" i="4"/>
  <c r="A271" i="4"/>
  <c r="G270" i="4"/>
  <c r="F270" i="4"/>
  <c r="E270" i="4"/>
  <c r="D270" i="4"/>
  <c r="C270" i="4"/>
  <c r="B270" i="4"/>
  <c r="A270" i="4"/>
  <c r="G269" i="4"/>
  <c r="F269" i="4"/>
  <c r="E269" i="4"/>
  <c r="D269" i="4"/>
  <c r="C269" i="4"/>
  <c r="B269" i="4"/>
  <c r="A269" i="4"/>
  <c r="G268" i="4"/>
  <c r="F268" i="4"/>
  <c r="E268" i="4"/>
  <c r="D268" i="4"/>
  <c r="C268" i="4"/>
  <c r="B268" i="4"/>
  <c r="A268" i="4"/>
  <c r="G267" i="4"/>
  <c r="F267" i="4"/>
  <c r="E267" i="4"/>
  <c r="D267" i="4"/>
  <c r="C267" i="4"/>
  <c r="B267" i="4"/>
  <c r="A267" i="4"/>
  <c r="G266" i="4"/>
  <c r="F266" i="4"/>
  <c r="E266" i="4"/>
  <c r="D266" i="4"/>
  <c r="C266" i="4"/>
  <c r="B266" i="4"/>
  <c r="A266" i="4"/>
  <c r="G265" i="4"/>
  <c r="F265" i="4"/>
  <c r="E265" i="4"/>
  <c r="D265" i="4"/>
  <c r="C265" i="4"/>
  <c r="B265" i="4"/>
  <c r="A265" i="4"/>
  <c r="G264" i="4"/>
  <c r="F264" i="4"/>
  <c r="E264" i="4"/>
  <c r="D264" i="4"/>
  <c r="C264" i="4"/>
  <c r="B264" i="4"/>
  <c r="A264" i="4"/>
  <c r="G263" i="4"/>
  <c r="F263" i="4"/>
  <c r="E263" i="4"/>
  <c r="D263" i="4"/>
  <c r="C263" i="4"/>
  <c r="B263" i="4"/>
  <c r="A263" i="4"/>
  <c r="G262" i="4"/>
  <c r="F262" i="4"/>
  <c r="E262" i="4"/>
  <c r="D262" i="4"/>
  <c r="C262" i="4"/>
  <c r="B262" i="4"/>
  <c r="A262" i="4"/>
  <c r="G261" i="4"/>
  <c r="F261" i="4"/>
  <c r="E261" i="4"/>
  <c r="D261" i="4"/>
  <c r="C261" i="4"/>
  <c r="B261" i="4"/>
  <c r="A261" i="4"/>
  <c r="G260" i="4"/>
  <c r="F260" i="4"/>
  <c r="E260" i="4"/>
  <c r="D260" i="4"/>
  <c r="C260" i="4"/>
  <c r="B260" i="4"/>
  <c r="A260" i="4"/>
  <c r="G259" i="4"/>
  <c r="F259" i="4"/>
  <c r="E259" i="4"/>
  <c r="D259" i="4"/>
  <c r="C259" i="4"/>
  <c r="B259" i="4"/>
  <c r="A259" i="4"/>
  <c r="G258" i="4"/>
  <c r="F258" i="4"/>
  <c r="E258" i="4"/>
  <c r="D258" i="4"/>
  <c r="C258" i="4"/>
  <c r="B258" i="4"/>
  <c r="A258" i="4"/>
  <c r="G257" i="4"/>
  <c r="F257" i="4"/>
  <c r="E257" i="4"/>
  <c r="D257" i="4"/>
  <c r="C257" i="4"/>
  <c r="B257" i="4"/>
  <c r="A257" i="4"/>
  <c r="G256" i="4"/>
  <c r="F256" i="4"/>
  <c r="E256" i="4"/>
  <c r="D256" i="4"/>
  <c r="C256" i="4"/>
  <c r="B256" i="4"/>
  <c r="A256" i="4"/>
  <c r="G255" i="4"/>
  <c r="F255" i="4"/>
  <c r="E255" i="4"/>
  <c r="D255" i="4"/>
  <c r="C255" i="4"/>
  <c r="B255" i="4"/>
  <c r="A255" i="4"/>
  <c r="G254" i="4"/>
  <c r="F254" i="4"/>
  <c r="E254" i="4"/>
  <c r="D254" i="4"/>
  <c r="C254" i="4"/>
  <c r="B254" i="4"/>
  <c r="A254" i="4"/>
  <c r="G253" i="4"/>
  <c r="F253" i="4"/>
  <c r="E253" i="4"/>
  <c r="D253" i="4"/>
  <c r="C253" i="4"/>
  <c r="B253" i="4"/>
  <c r="A253" i="4"/>
  <c r="G252" i="4"/>
  <c r="F252" i="4"/>
  <c r="E252" i="4"/>
  <c r="D252" i="4"/>
  <c r="C252" i="4"/>
  <c r="B252" i="4"/>
  <c r="A252" i="4"/>
  <c r="G251" i="4"/>
  <c r="F251" i="4"/>
  <c r="E251" i="4"/>
  <c r="D251" i="4"/>
  <c r="C251" i="4"/>
  <c r="B251" i="4"/>
  <c r="A251" i="4"/>
  <c r="G250" i="4"/>
  <c r="F250" i="4"/>
  <c r="E250" i="4"/>
  <c r="D250" i="4"/>
  <c r="C250" i="4"/>
  <c r="B250" i="4"/>
  <c r="A250" i="4"/>
  <c r="G249" i="4"/>
  <c r="F249" i="4"/>
  <c r="E249" i="4"/>
  <c r="D249" i="4"/>
  <c r="C249" i="4"/>
  <c r="B249" i="4"/>
  <c r="A249" i="4"/>
  <c r="G248" i="4"/>
  <c r="F248" i="4"/>
  <c r="E248" i="4"/>
  <c r="D248" i="4"/>
  <c r="C248" i="4"/>
  <c r="B248" i="4"/>
  <c r="A248" i="4"/>
  <c r="G247" i="4"/>
  <c r="F247" i="4"/>
  <c r="E247" i="4"/>
  <c r="D247" i="4"/>
  <c r="C247" i="4"/>
  <c r="B247" i="4"/>
  <c r="A247" i="4"/>
  <c r="G246" i="4"/>
  <c r="F246" i="4"/>
  <c r="E246" i="4"/>
  <c r="D246" i="4"/>
  <c r="C246" i="4"/>
  <c r="B246" i="4"/>
  <c r="A246" i="4"/>
  <c r="G245" i="4"/>
  <c r="F245" i="4"/>
  <c r="E245" i="4"/>
  <c r="D245" i="4"/>
  <c r="C245" i="4"/>
  <c r="B245" i="4"/>
  <c r="A245" i="4"/>
  <c r="G244" i="4"/>
  <c r="F244" i="4"/>
  <c r="E244" i="4"/>
  <c r="D244" i="4"/>
  <c r="C244" i="4"/>
  <c r="B244" i="4"/>
  <c r="A244" i="4"/>
  <c r="G243" i="4"/>
  <c r="F243" i="4"/>
  <c r="E243" i="4"/>
  <c r="D243" i="4"/>
  <c r="C243" i="4"/>
  <c r="B243" i="4"/>
  <c r="A243" i="4"/>
  <c r="G242" i="4"/>
  <c r="F242" i="4"/>
  <c r="E242" i="4"/>
  <c r="D242" i="4"/>
  <c r="C242" i="4"/>
  <c r="B242" i="4"/>
  <c r="A242" i="4"/>
  <c r="G241" i="4"/>
  <c r="F241" i="4"/>
  <c r="E241" i="4"/>
  <c r="D241" i="4"/>
  <c r="C241" i="4"/>
  <c r="B241" i="4"/>
  <c r="A241" i="4"/>
  <c r="G240" i="4"/>
  <c r="F240" i="4"/>
  <c r="E240" i="4"/>
  <c r="D240" i="4"/>
  <c r="C240" i="4"/>
  <c r="B240" i="4"/>
  <c r="A240" i="4"/>
  <c r="G239" i="4"/>
  <c r="F239" i="4"/>
  <c r="E239" i="4"/>
  <c r="D239" i="4"/>
  <c r="C239" i="4"/>
  <c r="B239" i="4"/>
  <c r="A239" i="4"/>
  <c r="G238" i="4"/>
  <c r="F238" i="4"/>
  <c r="E238" i="4"/>
  <c r="D238" i="4"/>
  <c r="C238" i="4"/>
  <c r="B238" i="4"/>
  <c r="A238" i="4"/>
  <c r="G237" i="4"/>
  <c r="F237" i="4"/>
  <c r="E237" i="4"/>
  <c r="D237" i="4"/>
  <c r="C237" i="4"/>
  <c r="B237" i="4"/>
  <c r="A237" i="4"/>
  <c r="G236" i="4"/>
  <c r="F236" i="4"/>
  <c r="E236" i="4"/>
  <c r="D236" i="4"/>
  <c r="C236" i="4"/>
  <c r="B236" i="4"/>
  <c r="A236" i="4"/>
  <c r="G235" i="4"/>
  <c r="F235" i="4"/>
  <c r="E235" i="4"/>
  <c r="D235" i="4"/>
  <c r="C235" i="4"/>
  <c r="B235" i="4"/>
  <c r="A235" i="4"/>
  <c r="G234" i="4"/>
  <c r="F234" i="4"/>
  <c r="E234" i="4"/>
  <c r="D234" i="4"/>
  <c r="C234" i="4"/>
  <c r="B234" i="4"/>
  <c r="A234" i="4"/>
  <c r="G233" i="4"/>
  <c r="F233" i="4"/>
  <c r="E233" i="4"/>
  <c r="D233" i="4"/>
  <c r="C233" i="4"/>
  <c r="B233" i="4"/>
  <c r="A233" i="4"/>
  <c r="G232" i="4"/>
  <c r="F232" i="4"/>
  <c r="E232" i="4"/>
  <c r="D232" i="4"/>
  <c r="C232" i="4"/>
  <c r="B232" i="4"/>
  <c r="A232" i="4"/>
  <c r="G231" i="4"/>
  <c r="F231" i="4"/>
  <c r="E231" i="4"/>
  <c r="D231" i="4"/>
  <c r="C231" i="4"/>
  <c r="B231" i="4"/>
  <c r="A231" i="4"/>
  <c r="G230" i="4"/>
  <c r="F230" i="4"/>
  <c r="E230" i="4"/>
  <c r="D230" i="4"/>
  <c r="C230" i="4"/>
  <c r="B230" i="4"/>
  <c r="A230" i="4"/>
  <c r="G229" i="4"/>
  <c r="F229" i="4"/>
  <c r="E229" i="4"/>
  <c r="D229" i="4"/>
  <c r="C229" i="4"/>
  <c r="B229" i="4"/>
  <c r="A229" i="4"/>
  <c r="G228" i="4"/>
  <c r="F228" i="4"/>
  <c r="E228" i="4"/>
  <c r="D228" i="4"/>
  <c r="C228" i="4"/>
  <c r="B228" i="4"/>
  <c r="A228" i="4"/>
  <c r="G227" i="4"/>
  <c r="F227" i="4"/>
  <c r="E227" i="4"/>
  <c r="D227" i="4"/>
  <c r="C227" i="4"/>
  <c r="B227" i="4"/>
  <c r="A227" i="4"/>
  <c r="G226" i="4"/>
  <c r="F226" i="4"/>
  <c r="E226" i="4"/>
  <c r="D226" i="4"/>
  <c r="C226" i="4"/>
  <c r="B226" i="4"/>
  <c r="A226" i="4"/>
  <c r="G225" i="4"/>
  <c r="F225" i="4"/>
  <c r="E225" i="4"/>
  <c r="D225" i="4"/>
  <c r="C225" i="4"/>
  <c r="B225" i="4"/>
  <c r="A225" i="4"/>
  <c r="G224" i="4"/>
  <c r="F224" i="4"/>
  <c r="E224" i="4"/>
  <c r="D224" i="4"/>
  <c r="C224" i="4"/>
  <c r="B224" i="4"/>
  <c r="A224" i="4"/>
  <c r="G223" i="4"/>
  <c r="F223" i="4"/>
  <c r="E223" i="4"/>
  <c r="D223" i="4"/>
  <c r="C223" i="4"/>
  <c r="B223" i="4"/>
  <c r="A223" i="4"/>
  <c r="G222" i="4"/>
  <c r="F222" i="4"/>
  <c r="E222" i="4"/>
  <c r="D222" i="4"/>
  <c r="C222" i="4"/>
  <c r="B222" i="4"/>
  <c r="A222" i="4"/>
  <c r="G221" i="4"/>
  <c r="F221" i="4"/>
  <c r="E221" i="4"/>
  <c r="D221" i="4"/>
  <c r="C221" i="4"/>
  <c r="B221" i="4"/>
  <c r="A221" i="4"/>
  <c r="G220" i="4"/>
  <c r="F220" i="4"/>
  <c r="E220" i="4"/>
  <c r="D220" i="4"/>
  <c r="C220" i="4"/>
  <c r="B220" i="4"/>
  <c r="A220" i="4"/>
  <c r="G219" i="4"/>
  <c r="F219" i="4"/>
  <c r="E219" i="4"/>
  <c r="D219" i="4"/>
  <c r="C219" i="4"/>
  <c r="B219" i="4"/>
  <c r="A219" i="4"/>
  <c r="G218" i="4"/>
  <c r="F218" i="4"/>
  <c r="E218" i="4"/>
  <c r="D218" i="4"/>
  <c r="C218" i="4"/>
  <c r="B218" i="4"/>
  <c r="A218" i="4"/>
  <c r="G217" i="4"/>
  <c r="F217" i="4"/>
  <c r="E217" i="4"/>
  <c r="D217" i="4"/>
  <c r="C217" i="4"/>
  <c r="B217" i="4"/>
  <c r="A217" i="4"/>
  <c r="G216" i="4"/>
  <c r="F216" i="4"/>
  <c r="E216" i="4"/>
  <c r="D216" i="4"/>
  <c r="C216" i="4"/>
  <c r="B216" i="4"/>
  <c r="A216" i="4"/>
  <c r="G215" i="4"/>
  <c r="F215" i="4"/>
  <c r="E215" i="4"/>
  <c r="D215" i="4"/>
  <c r="C215" i="4"/>
  <c r="B215" i="4"/>
  <c r="A215" i="4"/>
  <c r="G214" i="4"/>
  <c r="F214" i="4"/>
  <c r="E214" i="4"/>
  <c r="D214" i="4"/>
  <c r="C214" i="4"/>
  <c r="B214" i="4"/>
  <c r="A214" i="4"/>
  <c r="G213" i="4"/>
  <c r="F213" i="4"/>
  <c r="E213" i="4"/>
  <c r="D213" i="4"/>
  <c r="C213" i="4"/>
  <c r="B213" i="4"/>
  <c r="A213" i="4"/>
  <c r="G212" i="4"/>
  <c r="F212" i="4"/>
  <c r="E212" i="4"/>
  <c r="D212" i="4"/>
  <c r="C212" i="4"/>
  <c r="B212" i="4"/>
  <c r="A212" i="4"/>
  <c r="G211" i="4"/>
  <c r="F211" i="4"/>
  <c r="E211" i="4"/>
  <c r="D211" i="4"/>
  <c r="C211" i="4"/>
  <c r="B211" i="4"/>
  <c r="A211" i="4"/>
  <c r="G210" i="4"/>
  <c r="F210" i="4"/>
  <c r="E210" i="4"/>
  <c r="D210" i="4"/>
  <c r="C210" i="4"/>
  <c r="B210" i="4"/>
  <c r="A210" i="4"/>
  <c r="G209" i="4"/>
  <c r="F209" i="4"/>
  <c r="E209" i="4"/>
  <c r="D209" i="4"/>
  <c r="C209" i="4"/>
  <c r="B209" i="4"/>
  <c r="A209" i="4"/>
  <c r="G208" i="4"/>
  <c r="F208" i="4"/>
  <c r="E208" i="4"/>
  <c r="D208" i="4"/>
  <c r="C208" i="4"/>
  <c r="B208" i="4"/>
  <c r="A208" i="4"/>
  <c r="G207" i="4"/>
  <c r="F207" i="4"/>
  <c r="E207" i="4"/>
  <c r="D207" i="4"/>
  <c r="C207" i="4"/>
  <c r="B207" i="4"/>
  <c r="A207" i="4"/>
  <c r="G206" i="4"/>
  <c r="F206" i="4"/>
  <c r="E206" i="4"/>
  <c r="D206" i="4"/>
  <c r="C206" i="4"/>
  <c r="B206" i="4"/>
  <c r="A206" i="4"/>
  <c r="G205" i="4"/>
  <c r="F205" i="4"/>
  <c r="E205" i="4"/>
  <c r="D205" i="4"/>
  <c r="C205" i="4"/>
  <c r="B205" i="4"/>
  <c r="A205" i="4"/>
  <c r="G204" i="4"/>
  <c r="F204" i="4"/>
  <c r="E204" i="4"/>
  <c r="D204" i="4"/>
  <c r="C204" i="4"/>
  <c r="B204" i="4"/>
  <c r="A204" i="4"/>
  <c r="G203" i="4"/>
  <c r="F203" i="4"/>
  <c r="E203" i="4"/>
  <c r="D203" i="4"/>
  <c r="C203" i="4"/>
  <c r="B203" i="4"/>
  <c r="A203" i="4"/>
  <c r="G202" i="4"/>
  <c r="F202" i="4"/>
  <c r="E202" i="4"/>
  <c r="D202" i="4"/>
  <c r="C202" i="4"/>
  <c r="B202" i="4"/>
  <c r="A202" i="4"/>
  <c r="G201" i="4"/>
  <c r="F201" i="4"/>
  <c r="E201" i="4"/>
  <c r="D201" i="4"/>
  <c r="C201" i="4"/>
  <c r="B201" i="4"/>
  <c r="A201" i="4"/>
  <c r="G200" i="4"/>
  <c r="F200" i="4"/>
  <c r="E200" i="4"/>
  <c r="D200" i="4"/>
  <c r="C200" i="4"/>
  <c r="B200" i="4"/>
  <c r="A200" i="4"/>
  <c r="G199" i="4"/>
  <c r="F199" i="4"/>
  <c r="E199" i="4"/>
  <c r="D199" i="4"/>
  <c r="C199" i="4"/>
  <c r="B199" i="4"/>
  <c r="A199" i="4"/>
  <c r="G198" i="4"/>
  <c r="F198" i="4"/>
  <c r="E198" i="4"/>
  <c r="D198" i="4"/>
  <c r="C198" i="4"/>
  <c r="B198" i="4"/>
  <c r="A198" i="4"/>
  <c r="G197" i="4"/>
  <c r="F197" i="4"/>
  <c r="E197" i="4"/>
  <c r="D197" i="4"/>
  <c r="C197" i="4"/>
  <c r="B197" i="4"/>
  <c r="A197" i="4"/>
  <c r="G196" i="4"/>
  <c r="F196" i="4"/>
  <c r="E196" i="4"/>
  <c r="D196" i="4"/>
  <c r="C196" i="4"/>
  <c r="B196" i="4"/>
  <c r="A196" i="4"/>
  <c r="G195" i="4"/>
  <c r="F195" i="4"/>
  <c r="E195" i="4"/>
  <c r="D195" i="4"/>
  <c r="C195" i="4"/>
  <c r="B195" i="4"/>
  <c r="A195" i="4"/>
  <c r="G194" i="4"/>
  <c r="F194" i="4"/>
  <c r="E194" i="4"/>
  <c r="D194" i="4"/>
  <c r="C194" i="4"/>
  <c r="B194" i="4"/>
  <c r="A194" i="4"/>
  <c r="G193" i="4"/>
  <c r="F193" i="4"/>
  <c r="E193" i="4"/>
  <c r="D193" i="4"/>
  <c r="C193" i="4"/>
  <c r="B193" i="4"/>
  <c r="A193" i="4"/>
  <c r="G192" i="4"/>
  <c r="F192" i="4"/>
  <c r="E192" i="4"/>
  <c r="D192" i="4"/>
  <c r="C192" i="4"/>
  <c r="B192" i="4"/>
  <c r="A192" i="4"/>
  <c r="G191" i="4"/>
  <c r="F191" i="4"/>
  <c r="E191" i="4"/>
  <c r="D191" i="4"/>
  <c r="C191" i="4"/>
  <c r="B191" i="4"/>
  <c r="A191" i="4"/>
  <c r="G190" i="4"/>
  <c r="F190" i="4"/>
  <c r="E190" i="4"/>
  <c r="D190" i="4"/>
  <c r="C190" i="4"/>
  <c r="B190" i="4"/>
  <c r="A190" i="4"/>
  <c r="G189" i="4"/>
  <c r="F189" i="4"/>
  <c r="E189" i="4"/>
  <c r="D189" i="4"/>
  <c r="C189" i="4"/>
  <c r="B189" i="4"/>
  <c r="A189" i="4"/>
  <c r="G188" i="4"/>
  <c r="F188" i="4"/>
  <c r="E188" i="4"/>
  <c r="D188" i="4"/>
  <c r="C188" i="4"/>
  <c r="B188" i="4"/>
  <c r="A188" i="4"/>
  <c r="G187" i="4"/>
  <c r="F187" i="4"/>
  <c r="E187" i="4"/>
  <c r="D187" i="4"/>
  <c r="C187" i="4"/>
  <c r="B187" i="4"/>
  <c r="A187" i="4"/>
  <c r="G186" i="4"/>
  <c r="F186" i="4"/>
  <c r="E186" i="4"/>
  <c r="D186" i="4"/>
  <c r="C186" i="4"/>
  <c r="B186" i="4"/>
  <c r="A186" i="4"/>
  <c r="G185" i="4"/>
  <c r="F185" i="4"/>
  <c r="E185" i="4"/>
  <c r="D185" i="4"/>
  <c r="C185" i="4"/>
  <c r="B185" i="4"/>
  <c r="A185" i="4"/>
  <c r="G184" i="4"/>
  <c r="F184" i="4"/>
  <c r="E184" i="4"/>
  <c r="D184" i="4"/>
  <c r="C184" i="4"/>
  <c r="B184" i="4"/>
  <c r="A184" i="4"/>
  <c r="G183" i="4"/>
  <c r="F183" i="4"/>
  <c r="E183" i="4"/>
  <c r="D183" i="4"/>
  <c r="C183" i="4"/>
  <c r="B183" i="4"/>
  <c r="A183" i="4"/>
  <c r="G182" i="4"/>
  <c r="F182" i="4"/>
  <c r="E182" i="4"/>
  <c r="D182" i="4"/>
  <c r="C182" i="4"/>
  <c r="B182" i="4"/>
  <c r="A182" i="4"/>
  <c r="G181" i="4"/>
  <c r="F181" i="4"/>
  <c r="E181" i="4"/>
  <c r="D181" i="4"/>
  <c r="C181" i="4"/>
  <c r="B181" i="4"/>
  <c r="A181" i="4"/>
  <c r="G180" i="4"/>
  <c r="F180" i="4"/>
  <c r="E180" i="4"/>
  <c r="D180" i="4"/>
  <c r="C180" i="4"/>
  <c r="B180" i="4"/>
  <c r="A180" i="4"/>
  <c r="G179" i="4"/>
  <c r="F179" i="4"/>
  <c r="E179" i="4"/>
  <c r="D179" i="4"/>
  <c r="C179" i="4"/>
  <c r="B179" i="4"/>
  <c r="A179" i="4"/>
  <c r="G178" i="4"/>
  <c r="F178" i="4"/>
  <c r="E178" i="4"/>
  <c r="D178" i="4"/>
  <c r="C178" i="4"/>
  <c r="B178" i="4"/>
  <c r="A178" i="4"/>
  <c r="G177" i="4"/>
  <c r="F177" i="4"/>
  <c r="E177" i="4"/>
  <c r="D177" i="4"/>
  <c r="C177" i="4"/>
  <c r="B177" i="4"/>
  <c r="A177" i="4"/>
  <c r="G176" i="4"/>
  <c r="F176" i="4"/>
  <c r="E176" i="4"/>
  <c r="D176" i="4"/>
  <c r="C176" i="4"/>
  <c r="B176" i="4"/>
  <c r="A176" i="4"/>
  <c r="G175" i="4"/>
  <c r="F175" i="4"/>
  <c r="E175" i="4"/>
  <c r="D175" i="4"/>
  <c r="C175" i="4"/>
  <c r="B175" i="4"/>
  <c r="A175" i="4"/>
  <c r="G174" i="4"/>
  <c r="F174" i="4"/>
  <c r="E174" i="4"/>
  <c r="D174" i="4"/>
  <c r="C174" i="4"/>
  <c r="B174" i="4"/>
  <c r="A174" i="4"/>
  <c r="G173" i="4"/>
  <c r="F173" i="4"/>
  <c r="E173" i="4"/>
  <c r="D173" i="4"/>
  <c r="C173" i="4"/>
  <c r="B173" i="4"/>
  <c r="A173" i="4"/>
  <c r="G172" i="4"/>
  <c r="F172" i="4"/>
  <c r="E172" i="4"/>
  <c r="D172" i="4"/>
  <c r="C172" i="4"/>
  <c r="B172" i="4"/>
  <c r="A172" i="4"/>
  <c r="G171" i="4"/>
  <c r="F171" i="4"/>
  <c r="E171" i="4"/>
  <c r="D171" i="4"/>
  <c r="C171" i="4"/>
  <c r="B171" i="4"/>
  <c r="A171" i="4"/>
  <c r="G170" i="4"/>
  <c r="F170" i="4"/>
  <c r="E170" i="4"/>
  <c r="D170" i="4"/>
  <c r="C170" i="4"/>
  <c r="B170" i="4"/>
  <c r="A170" i="4"/>
  <c r="G169" i="4"/>
  <c r="F169" i="4"/>
  <c r="E169" i="4"/>
  <c r="D169" i="4"/>
  <c r="C169" i="4"/>
  <c r="B169" i="4"/>
  <c r="A169" i="4"/>
  <c r="G168" i="4"/>
  <c r="F168" i="4"/>
  <c r="E168" i="4"/>
  <c r="D168" i="4"/>
  <c r="C168" i="4"/>
  <c r="B168" i="4"/>
  <c r="A168" i="4"/>
  <c r="G167" i="4"/>
  <c r="F167" i="4"/>
  <c r="E167" i="4"/>
  <c r="D167" i="4"/>
  <c r="C167" i="4"/>
  <c r="B167" i="4"/>
  <c r="A167" i="4"/>
  <c r="G166" i="4"/>
  <c r="F166" i="4"/>
  <c r="E166" i="4"/>
  <c r="D166" i="4"/>
  <c r="C166" i="4"/>
  <c r="B166" i="4"/>
  <c r="A166" i="4"/>
  <c r="G165" i="4"/>
  <c r="F165" i="4"/>
  <c r="E165" i="4"/>
  <c r="D165" i="4"/>
  <c r="C165" i="4"/>
  <c r="B165" i="4"/>
  <c r="A165" i="4"/>
  <c r="G164" i="4"/>
  <c r="F164" i="4"/>
  <c r="E164" i="4"/>
  <c r="D164" i="4"/>
  <c r="C164" i="4"/>
  <c r="B164" i="4"/>
  <c r="A164" i="4"/>
  <c r="G163" i="4"/>
  <c r="F163" i="4"/>
  <c r="E163" i="4"/>
  <c r="D163" i="4"/>
  <c r="C163" i="4"/>
  <c r="B163" i="4"/>
  <c r="A163" i="4"/>
  <c r="G162" i="4"/>
  <c r="F162" i="4"/>
  <c r="E162" i="4"/>
  <c r="D162" i="4"/>
  <c r="C162" i="4"/>
  <c r="B162" i="4"/>
  <c r="A162" i="4"/>
  <c r="G161" i="4"/>
  <c r="F161" i="4"/>
  <c r="E161" i="4"/>
  <c r="D161" i="4"/>
  <c r="C161" i="4"/>
  <c r="B161" i="4"/>
  <c r="A161" i="4"/>
  <c r="G160" i="4"/>
  <c r="F160" i="4"/>
  <c r="E160" i="4"/>
  <c r="D160" i="4"/>
  <c r="C160" i="4"/>
  <c r="B160" i="4"/>
  <c r="A160" i="4"/>
  <c r="G159" i="4"/>
  <c r="F159" i="4"/>
  <c r="E159" i="4"/>
  <c r="D159" i="4"/>
  <c r="C159" i="4"/>
  <c r="B159" i="4"/>
  <c r="A159" i="4"/>
  <c r="G158" i="4"/>
  <c r="F158" i="4"/>
  <c r="E158" i="4"/>
  <c r="D158" i="4"/>
  <c r="C158" i="4"/>
  <c r="B158" i="4"/>
  <c r="A158" i="4"/>
  <c r="G157" i="4"/>
  <c r="F157" i="4"/>
  <c r="E157" i="4"/>
  <c r="D157" i="4"/>
  <c r="C157" i="4"/>
  <c r="B157" i="4"/>
  <c r="A157" i="4"/>
  <c r="G156" i="4"/>
  <c r="F156" i="4"/>
  <c r="E156" i="4"/>
  <c r="D156" i="4"/>
  <c r="C156" i="4"/>
  <c r="B156" i="4"/>
  <c r="A156" i="4"/>
  <c r="G155" i="4"/>
  <c r="F155" i="4"/>
  <c r="E155" i="4"/>
  <c r="D155" i="4"/>
  <c r="C155" i="4"/>
  <c r="B155" i="4"/>
  <c r="A155" i="4"/>
  <c r="G154" i="4"/>
  <c r="F154" i="4"/>
  <c r="E154" i="4"/>
  <c r="D154" i="4"/>
  <c r="C154" i="4"/>
  <c r="B154" i="4"/>
  <c r="A154" i="4"/>
  <c r="G153" i="4"/>
  <c r="F153" i="4"/>
  <c r="E153" i="4"/>
  <c r="D153" i="4"/>
  <c r="C153" i="4"/>
  <c r="B153" i="4"/>
  <c r="A153" i="4"/>
  <c r="G152" i="4"/>
  <c r="F152" i="4"/>
  <c r="E152" i="4"/>
  <c r="D152" i="4"/>
  <c r="C152" i="4"/>
  <c r="B152" i="4"/>
  <c r="A152" i="4"/>
  <c r="G151" i="4"/>
  <c r="F151" i="4"/>
  <c r="E151" i="4"/>
  <c r="D151" i="4"/>
  <c r="C151" i="4"/>
  <c r="B151" i="4"/>
  <c r="A151" i="4"/>
  <c r="G150" i="4"/>
  <c r="F150" i="4"/>
  <c r="E150" i="4"/>
  <c r="D150" i="4"/>
  <c r="C150" i="4"/>
  <c r="B150" i="4"/>
  <c r="A150" i="4"/>
  <c r="G149" i="4"/>
  <c r="F149" i="4"/>
  <c r="E149" i="4"/>
  <c r="D149" i="4"/>
  <c r="C149" i="4"/>
  <c r="B149" i="4"/>
  <c r="A149" i="4"/>
  <c r="G148" i="4"/>
  <c r="F148" i="4"/>
  <c r="E148" i="4"/>
  <c r="D148" i="4"/>
  <c r="C148" i="4"/>
  <c r="B148" i="4"/>
  <c r="A148" i="4"/>
  <c r="G147" i="4"/>
  <c r="F147" i="4"/>
  <c r="E147" i="4"/>
  <c r="D147" i="4"/>
  <c r="C147" i="4"/>
  <c r="B147" i="4"/>
  <c r="A147" i="4"/>
  <c r="G146" i="4"/>
  <c r="F146" i="4"/>
  <c r="E146" i="4"/>
  <c r="D146" i="4"/>
  <c r="C146" i="4"/>
  <c r="B146" i="4"/>
  <c r="A146" i="4"/>
  <c r="G145" i="4"/>
  <c r="F145" i="4"/>
  <c r="E145" i="4"/>
  <c r="D145" i="4"/>
  <c r="C145" i="4"/>
  <c r="B145" i="4"/>
  <c r="A145" i="4"/>
  <c r="G144" i="4"/>
  <c r="F144" i="4"/>
  <c r="E144" i="4"/>
  <c r="D144" i="4"/>
  <c r="C144" i="4"/>
  <c r="B144" i="4"/>
  <c r="A144" i="4"/>
  <c r="G143" i="4"/>
  <c r="F143" i="4"/>
  <c r="E143" i="4"/>
  <c r="D143" i="4"/>
  <c r="C143" i="4"/>
  <c r="B143" i="4"/>
  <c r="A143" i="4"/>
  <c r="G142" i="4"/>
  <c r="F142" i="4"/>
  <c r="E142" i="4"/>
  <c r="D142" i="4"/>
  <c r="C142" i="4"/>
  <c r="B142" i="4"/>
  <c r="A142" i="4"/>
  <c r="G141" i="4"/>
  <c r="F141" i="4"/>
  <c r="E141" i="4"/>
  <c r="D141" i="4"/>
  <c r="C141" i="4"/>
  <c r="B141" i="4"/>
  <c r="A141" i="4"/>
  <c r="G140" i="4"/>
  <c r="F140" i="4"/>
  <c r="E140" i="4"/>
  <c r="D140" i="4"/>
  <c r="C140" i="4"/>
  <c r="B140" i="4"/>
  <c r="A140" i="4"/>
  <c r="G139" i="4"/>
  <c r="F139" i="4"/>
  <c r="E139" i="4"/>
  <c r="D139" i="4"/>
  <c r="C139" i="4"/>
  <c r="B139" i="4"/>
  <c r="A139" i="4"/>
  <c r="G138" i="4"/>
  <c r="F138" i="4"/>
  <c r="E138" i="4"/>
  <c r="D138" i="4"/>
  <c r="C138" i="4"/>
  <c r="B138" i="4"/>
  <c r="A138" i="4"/>
  <c r="G137" i="4"/>
  <c r="F137" i="4"/>
  <c r="E137" i="4"/>
  <c r="D137" i="4"/>
  <c r="C137" i="4"/>
  <c r="B137" i="4"/>
  <c r="A137" i="4"/>
  <c r="G136" i="4"/>
  <c r="F136" i="4"/>
  <c r="E136" i="4"/>
  <c r="D136" i="4"/>
  <c r="C136" i="4"/>
  <c r="B136" i="4"/>
  <c r="A136" i="4"/>
  <c r="G135" i="4"/>
  <c r="F135" i="4"/>
  <c r="E135" i="4"/>
  <c r="D135" i="4"/>
  <c r="C135" i="4"/>
  <c r="B135" i="4"/>
  <c r="A135" i="4"/>
  <c r="G134" i="4"/>
  <c r="F134" i="4"/>
  <c r="E134" i="4"/>
  <c r="D134" i="4"/>
  <c r="C134" i="4"/>
  <c r="B134" i="4"/>
  <c r="A134" i="4"/>
  <c r="G133" i="4"/>
  <c r="F133" i="4"/>
  <c r="E133" i="4"/>
  <c r="D133" i="4"/>
  <c r="C133" i="4"/>
  <c r="B133" i="4"/>
  <c r="A133" i="4"/>
  <c r="G132" i="4"/>
  <c r="F132" i="4"/>
  <c r="E132" i="4"/>
  <c r="D132" i="4"/>
  <c r="C132" i="4"/>
  <c r="B132" i="4"/>
  <c r="A132" i="4"/>
  <c r="G131" i="4"/>
  <c r="F131" i="4"/>
  <c r="E131" i="4"/>
  <c r="D131" i="4"/>
  <c r="C131" i="4"/>
  <c r="B131" i="4"/>
  <c r="A131" i="4"/>
  <c r="G130" i="4"/>
  <c r="F130" i="4"/>
  <c r="E130" i="4"/>
  <c r="D130" i="4"/>
  <c r="C130" i="4"/>
  <c r="B130" i="4"/>
  <c r="A130" i="4"/>
  <c r="G129" i="4"/>
  <c r="F129" i="4"/>
  <c r="E129" i="4"/>
  <c r="D129" i="4"/>
  <c r="C129" i="4"/>
  <c r="B129" i="4"/>
  <c r="A129" i="4"/>
  <c r="G128" i="4"/>
  <c r="F128" i="4"/>
  <c r="E128" i="4"/>
  <c r="D128" i="4"/>
  <c r="C128" i="4"/>
  <c r="B128" i="4"/>
  <c r="A128" i="4"/>
  <c r="G127" i="4"/>
  <c r="F127" i="4"/>
  <c r="E127" i="4"/>
  <c r="D127" i="4"/>
  <c r="C127" i="4"/>
  <c r="B127" i="4"/>
  <c r="A127" i="4"/>
  <c r="G126" i="4"/>
  <c r="F126" i="4"/>
  <c r="E126" i="4"/>
  <c r="D126" i="4"/>
  <c r="C126" i="4"/>
  <c r="B126" i="4"/>
  <c r="A126" i="4"/>
  <c r="G125" i="4"/>
  <c r="F125" i="4"/>
  <c r="E125" i="4"/>
  <c r="D125" i="4"/>
  <c r="C125" i="4"/>
  <c r="B125" i="4"/>
  <c r="A125" i="4"/>
  <c r="G124" i="4"/>
  <c r="F124" i="4"/>
  <c r="E124" i="4"/>
  <c r="D124" i="4"/>
  <c r="C124" i="4"/>
  <c r="B124" i="4"/>
  <c r="A124" i="4"/>
  <c r="G123" i="4"/>
  <c r="F123" i="4"/>
  <c r="E123" i="4"/>
  <c r="D123" i="4"/>
  <c r="C123" i="4"/>
  <c r="B123" i="4"/>
  <c r="A123" i="4"/>
  <c r="G122" i="4"/>
  <c r="F122" i="4"/>
  <c r="E122" i="4"/>
  <c r="D122" i="4"/>
  <c r="C122" i="4"/>
  <c r="B122" i="4"/>
  <c r="A122" i="4"/>
  <c r="G121" i="4"/>
  <c r="F121" i="4"/>
  <c r="E121" i="4"/>
  <c r="D121" i="4"/>
  <c r="C121" i="4"/>
  <c r="B121" i="4"/>
  <c r="A121" i="4"/>
  <c r="G120" i="4"/>
  <c r="F120" i="4"/>
  <c r="E120" i="4"/>
  <c r="D120" i="4"/>
  <c r="C120" i="4"/>
  <c r="B120" i="4"/>
  <c r="A120" i="4"/>
  <c r="G119" i="4"/>
  <c r="F119" i="4"/>
  <c r="E119" i="4"/>
  <c r="D119" i="4"/>
  <c r="C119" i="4"/>
  <c r="B119" i="4"/>
  <c r="A119" i="4"/>
  <c r="G118" i="4"/>
  <c r="F118" i="4"/>
  <c r="E118" i="4"/>
  <c r="D118" i="4"/>
  <c r="C118" i="4"/>
  <c r="B118" i="4"/>
  <c r="A118" i="4"/>
  <c r="G117" i="4"/>
  <c r="F117" i="4"/>
  <c r="E117" i="4"/>
  <c r="D117" i="4"/>
  <c r="C117" i="4"/>
  <c r="B117" i="4"/>
  <c r="A117" i="4"/>
  <c r="G116" i="4"/>
  <c r="F116" i="4"/>
  <c r="E116" i="4"/>
  <c r="D116" i="4"/>
  <c r="C116" i="4"/>
  <c r="B116" i="4"/>
  <c r="A116" i="4"/>
  <c r="G115" i="4"/>
  <c r="F115" i="4"/>
  <c r="E115" i="4"/>
  <c r="D115" i="4"/>
  <c r="C115" i="4"/>
  <c r="B115" i="4"/>
  <c r="A115" i="4"/>
  <c r="G114" i="4"/>
  <c r="F114" i="4"/>
  <c r="E114" i="4"/>
  <c r="D114" i="4"/>
  <c r="C114" i="4"/>
  <c r="B114" i="4"/>
  <c r="A114" i="4"/>
  <c r="G113" i="4"/>
  <c r="F113" i="4"/>
  <c r="E113" i="4"/>
  <c r="D113" i="4"/>
  <c r="C113" i="4"/>
  <c r="B113" i="4"/>
  <c r="A113" i="4"/>
  <c r="G112" i="4"/>
  <c r="F112" i="4"/>
  <c r="E112" i="4"/>
  <c r="D112" i="4"/>
  <c r="C112" i="4"/>
  <c r="B112" i="4"/>
  <c r="A112" i="4"/>
  <c r="G111" i="4"/>
  <c r="F111" i="4"/>
  <c r="E111" i="4"/>
  <c r="D111" i="4"/>
  <c r="C111" i="4"/>
  <c r="B111" i="4"/>
  <c r="A111" i="4"/>
  <c r="G110" i="4"/>
  <c r="F110" i="4"/>
  <c r="E110" i="4"/>
  <c r="D110" i="4"/>
  <c r="C110" i="4"/>
  <c r="B110" i="4"/>
  <c r="A110" i="4"/>
  <c r="G109" i="4"/>
  <c r="F109" i="4"/>
  <c r="E109" i="4"/>
  <c r="D109" i="4"/>
  <c r="C109" i="4"/>
  <c r="B109" i="4"/>
  <c r="A109" i="4"/>
  <c r="G108" i="4"/>
  <c r="F108" i="4"/>
  <c r="E108" i="4"/>
  <c r="D108" i="4"/>
  <c r="C108" i="4"/>
  <c r="B108" i="4"/>
  <c r="A108" i="4"/>
  <c r="G107" i="4"/>
  <c r="F107" i="4"/>
  <c r="E107" i="4"/>
  <c r="D107" i="4"/>
  <c r="C107" i="4"/>
  <c r="B107" i="4"/>
  <c r="A107" i="4"/>
  <c r="G106" i="4"/>
  <c r="F106" i="4"/>
  <c r="E106" i="4"/>
  <c r="D106" i="4"/>
  <c r="C106" i="4"/>
  <c r="B106" i="4"/>
  <c r="A106" i="4"/>
  <c r="G105" i="4"/>
  <c r="F105" i="4"/>
  <c r="E105" i="4"/>
  <c r="D105" i="4"/>
  <c r="C105" i="4"/>
  <c r="B105" i="4"/>
  <c r="A105" i="4"/>
  <c r="G104" i="4"/>
  <c r="F104" i="4"/>
  <c r="E104" i="4"/>
  <c r="D104" i="4"/>
  <c r="C104" i="4"/>
  <c r="B104" i="4"/>
  <c r="A104" i="4"/>
  <c r="G103" i="4"/>
  <c r="F103" i="4"/>
  <c r="E103" i="4"/>
  <c r="D103" i="4"/>
  <c r="C103" i="4"/>
  <c r="B103" i="4"/>
  <c r="A103" i="4"/>
  <c r="G102" i="4"/>
  <c r="F102" i="4"/>
  <c r="E102" i="4"/>
  <c r="D102" i="4"/>
  <c r="C102" i="4"/>
  <c r="B102" i="4"/>
  <c r="A102" i="4"/>
  <c r="G101" i="4"/>
  <c r="F101" i="4"/>
  <c r="E101" i="4"/>
  <c r="D101" i="4"/>
  <c r="C101" i="4"/>
  <c r="B101" i="4"/>
  <c r="A101" i="4"/>
  <c r="G100" i="4"/>
  <c r="F100" i="4"/>
  <c r="E100" i="4"/>
  <c r="D100" i="4"/>
  <c r="C100" i="4"/>
  <c r="B100" i="4"/>
  <c r="A100" i="4"/>
  <c r="G99" i="4"/>
  <c r="F99" i="4"/>
  <c r="E99" i="4"/>
  <c r="D99" i="4"/>
  <c r="C99" i="4"/>
  <c r="B99" i="4"/>
  <c r="A99" i="4"/>
  <c r="G98" i="4"/>
  <c r="F98" i="4"/>
  <c r="E98" i="4"/>
  <c r="D98" i="4"/>
  <c r="C98" i="4"/>
  <c r="B98" i="4"/>
  <c r="A98" i="4"/>
  <c r="G97" i="4"/>
  <c r="F97" i="4"/>
  <c r="E97" i="4"/>
  <c r="D97" i="4"/>
  <c r="C97" i="4"/>
  <c r="B97" i="4"/>
  <c r="A97" i="4"/>
  <c r="G96" i="4"/>
  <c r="F96" i="4"/>
  <c r="E96" i="4"/>
  <c r="D96" i="4"/>
  <c r="C96" i="4"/>
  <c r="B96" i="4"/>
  <c r="A96" i="4"/>
  <c r="G95" i="4"/>
  <c r="F95" i="4"/>
  <c r="E95" i="4"/>
  <c r="D95" i="4"/>
  <c r="C95" i="4"/>
  <c r="B95" i="4"/>
  <c r="A95" i="4"/>
  <c r="G94" i="4"/>
  <c r="F94" i="4"/>
  <c r="E94" i="4"/>
  <c r="D94" i="4"/>
  <c r="C94" i="4"/>
  <c r="B94" i="4"/>
  <c r="A94" i="4"/>
  <c r="G93" i="4"/>
  <c r="F93" i="4"/>
  <c r="E93" i="4"/>
  <c r="D93" i="4"/>
  <c r="C93" i="4"/>
  <c r="B93" i="4"/>
  <c r="A93" i="4"/>
  <c r="G92" i="4"/>
  <c r="F92" i="4"/>
  <c r="E92" i="4"/>
  <c r="D92" i="4"/>
  <c r="C92" i="4"/>
  <c r="B92" i="4"/>
  <c r="A92" i="4"/>
  <c r="G91" i="4"/>
  <c r="F91" i="4"/>
  <c r="E91" i="4"/>
  <c r="D91" i="4"/>
  <c r="C91" i="4"/>
  <c r="B91" i="4"/>
  <c r="A91" i="4"/>
  <c r="G90" i="4"/>
  <c r="F90" i="4"/>
  <c r="E90" i="4"/>
  <c r="D90" i="4"/>
  <c r="C90" i="4"/>
  <c r="B90" i="4"/>
  <c r="A90" i="4"/>
  <c r="G89" i="4"/>
  <c r="F89" i="4"/>
  <c r="E89" i="4"/>
  <c r="D89" i="4"/>
  <c r="C89" i="4"/>
  <c r="B89" i="4"/>
  <c r="A89" i="4"/>
  <c r="G88" i="4"/>
  <c r="F88" i="4"/>
  <c r="E88" i="4"/>
  <c r="D88" i="4"/>
  <c r="C88" i="4"/>
  <c r="B88" i="4"/>
  <c r="A88" i="4"/>
  <c r="G87" i="4"/>
  <c r="F87" i="4"/>
  <c r="E87" i="4"/>
  <c r="D87" i="4"/>
  <c r="C87" i="4"/>
  <c r="B87" i="4"/>
  <c r="A87" i="4"/>
  <c r="G86" i="4"/>
  <c r="F86" i="4"/>
  <c r="E86" i="4"/>
  <c r="D86" i="4"/>
  <c r="C86" i="4"/>
  <c r="B86" i="4"/>
  <c r="A86" i="4"/>
  <c r="G85" i="4"/>
  <c r="F85" i="4"/>
  <c r="E85" i="4"/>
  <c r="D85" i="4"/>
  <c r="C85" i="4"/>
  <c r="B85" i="4"/>
  <c r="A85" i="4"/>
  <c r="G84" i="4"/>
  <c r="F84" i="4"/>
  <c r="E84" i="4"/>
  <c r="D84" i="4"/>
  <c r="C84" i="4"/>
  <c r="B84" i="4"/>
  <c r="A84" i="4"/>
  <c r="G83" i="4"/>
  <c r="F83" i="4"/>
  <c r="E83" i="4"/>
  <c r="D83" i="4"/>
  <c r="C83" i="4"/>
  <c r="B83" i="4"/>
  <c r="A83" i="4"/>
  <c r="G82" i="4"/>
  <c r="F82" i="4"/>
  <c r="E82" i="4"/>
  <c r="D82" i="4"/>
  <c r="C82" i="4"/>
  <c r="B82" i="4"/>
  <c r="A82" i="4"/>
  <c r="G81" i="4"/>
  <c r="F81" i="4"/>
  <c r="E81" i="4"/>
  <c r="D81" i="4"/>
  <c r="C81" i="4"/>
  <c r="B81" i="4"/>
  <c r="A81" i="4"/>
  <c r="G80" i="4"/>
  <c r="F80" i="4"/>
  <c r="E80" i="4"/>
  <c r="D80" i="4"/>
  <c r="C80" i="4"/>
  <c r="B80" i="4"/>
  <c r="A80" i="4"/>
  <c r="G79" i="4"/>
  <c r="F79" i="4"/>
  <c r="E79" i="4"/>
  <c r="D79" i="4"/>
  <c r="C79" i="4"/>
  <c r="B79" i="4"/>
  <c r="A79" i="4"/>
  <c r="G78" i="4"/>
  <c r="F78" i="4"/>
  <c r="E78" i="4"/>
  <c r="D78" i="4"/>
  <c r="C78" i="4"/>
  <c r="B78" i="4"/>
  <c r="A78" i="4"/>
  <c r="G77" i="4"/>
  <c r="F77" i="4"/>
  <c r="E77" i="4"/>
  <c r="D77" i="4"/>
  <c r="C77" i="4"/>
  <c r="B77" i="4"/>
  <c r="A77" i="4"/>
  <c r="G76" i="4"/>
  <c r="F76" i="4"/>
  <c r="E76" i="4"/>
  <c r="D76" i="4"/>
  <c r="C76" i="4"/>
  <c r="B76" i="4"/>
  <c r="A76" i="4"/>
  <c r="G75" i="4"/>
  <c r="F75" i="4"/>
  <c r="E75" i="4"/>
  <c r="D75" i="4"/>
  <c r="C75" i="4"/>
  <c r="B75" i="4"/>
  <c r="A75" i="4"/>
  <c r="G74" i="4"/>
  <c r="F74" i="4"/>
  <c r="E74" i="4"/>
  <c r="D74" i="4"/>
  <c r="C74" i="4"/>
  <c r="B74" i="4"/>
  <c r="A74" i="4"/>
  <c r="G73" i="4"/>
  <c r="F73" i="4"/>
  <c r="E73" i="4"/>
  <c r="D73" i="4"/>
  <c r="C73" i="4"/>
  <c r="B73" i="4"/>
  <c r="A73" i="4"/>
  <c r="G72" i="4"/>
  <c r="F72" i="4"/>
  <c r="E72" i="4"/>
  <c r="D72" i="4"/>
  <c r="C72" i="4"/>
  <c r="B72" i="4"/>
  <c r="A72" i="4"/>
  <c r="G71" i="4"/>
  <c r="F71" i="4"/>
  <c r="E71" i="4"/>
  <c r="D71" i="4"/>
  <c r="C71" i="4"/>
  <c r="B71" i="4"/>
  <c r="A71" i="4"/>
  <c r="G70" i="4"/>
  <c r="F70" i="4"/>
  <c r="E70" i="4"/>
  <c r="D70" i="4"/>
  <c r="C70" i="4"/>
  <c r="B70" i="4"/>
  <c r="A70" i="4"/>
  <c r="G69" i="4"/>
  <c r="F69" i="4"/>
  <c r="E69" i="4"/>
  <c r="D69" i="4"/>
  <c r="C69" i="4"/>
  <c r="B69" i="4"/>
  <c r="A69" i="4"/>
  <c r="G68" i="4"/>
  <c r="F68" i="4"/>
  <c r="E68" i="4"/>
  <c r="D68" i="4"/>
  <c r="C68" i="4"/>
  <c r="B68" i="4"/>
  <c r="A68" i="4"/>
  <c r="G67" i="4"/>
  <c r="F67" i="4"/>
  <c r="E67" i="4"/>
  <c r="D67" i="4"/>
  <c r="C67" i="4"/>
  <c r="B67" i="4"/>
  <c r="A67" i="4"/>
  <c r="G66" i="4"/>
  <c r="F66" i="4"/>
  <c r="E66" i="4"/>
  <c r="D66" i="4"/>
  <c r="C66" i="4"/>
  <c r="B66" i="4"/>
  <c r="A66" i="4"/>
  <c r="G65" i="4"/>
  <c r="F65" i="4"/>
  <c r="E65" i="4"/>
  <c r="D65" i="4"/>
  <c r="C65" i="4"/>
  <c r="B65" i="4"/>
  <c r="A65" i="4"/>
  <c r="G64" i="4"/>
  <c r="F64" i="4"/>
  <c r="E64" i="4"/>
  <c r="D64" i="4"/>
  <c r="C64" i="4"/>
  <c r="B64" i="4"/>
  <c r="A64" i="4"/>
  <c r="G63" i="4"/>
  <c r="F63" i="4"/>
  <c r="E63" i="4"/>
  <c r="D63" i="4"/>
  <c r="C63" i="4"/>
  <c r="B63" i="4"/>
  <c r="A63" i="4"/>
  <c r="G62" i="4"/>
  <c r="F62" i="4"/>
  <c r="E62" i="4"/>
  <c r="D62" i="4"/>
  <c r="C62" i="4"/>
  <c r="B62" i="4"/>
  <c r="A62" i="4"/>
  <c r="G61" i="4"/>
  <c r="F61" i="4"/>
  <c r="E61" i="4"/>
  <c r="D61" i="4"/>
  <c r="C61" i="4"/>
  <c r="B61" i="4"/>
  <c r="A61" i="4"/>
  <c r="G60" i="4"/>
  <c r="F60" i="4"/>
  <c r="E60" i="4"/>
  <c r="D60" i="4"/>
  <c r="C60" i="4"/>
  <c r="B60" i="4"/>
  <c r="A60" i="4"/>
  <c r="G59" i="4"/>
  <c r="F59" i="4"/>
  <c r="E59" i="4"/>
  <c r="D59" i="4"/>
  <c r="C59" i="4"/>
  <c r="B59" i="4"/>
  <c r="A59" i="4"/>
  <c r="G58" i="4"/>
  <c r="F58" i="4"/>
  <c r="E58" i="4"/>
  <c r="D58" i="4"/>
  <c r="C58" i="4"/>
  <c r="B58" i="4"/>
  <c r="A58" i="4"/>
  <c r="G57" i="4"/>
  <c r="F57" i="4"/>
  <c r="E57" i="4"/>
  <c r="D57" i="4"/>
  <c r="C57" i="4"/>
  <c r="B57" i="4"/>
  <c r="A57" i="4"/>
  <c r="G56" i="4"/>
  <c r="F56" i="4"/>
  <c r="E56" i="4"/>
  <c r="D56" i="4"/>
  <c r="C56" i="4"/>
  <c r="B56" i="4"/>
  <c r="A56" i="4"/>
  <c r="G55" i="4"/>
  <c r="F55" i="4"/>
  <c r="E55" i="4"/>
  <c r="D55" i="4"/>
  <c r="C55" i="4"/>
  <c r="B55" i="4"/>
  <c r="A55" i="4"/>
  <c r="G54" i="4"/>
  <c r="F54" i="4"/>
  <c r="E54" i="4"/>
  <c r="D54" i="4"/>
  <c r="C54" i="4"/>
  <c r="B54" i="4"/>
  <c r="A54" i="4"/>
  <c r="G53" i="4"/>
  <c r="F53" i="4"/>
  <c r="E53" i="4"/>
  <c r="D53" i="4"/>
  <c r="C53" i="4"/>
  <c r="B53" i="4"/>
  <c r="A53" i="4"/>
  <c r="G52" i="4"/>
  <c r="F52" i="4"/>
  <c r="E52" i="4"/>
  <c r="D52" i="4"/>
  <c r="C52" i="4"/>
  <c r="B52" i="4"/>
  <c r="A52" i="4"/>
  <c r="G51" i="4"/>
  <c r="F51" i="4"/>
  <c r="E51" i="4"/>
  <c r="D51" i="4"/>
  <c r="C51" i="4"/>
  <c r="B51" i="4"/>
  <c r="A51" i="4"/>
  <c r="G50" i="4"/>
  <c r="F50" i="4"/>
  <c r="E50" i="4"/>
  <c r="D50" i="4"/>
  <c r="C50" i="4"/>
  <c r="B50" i="4"/>
  <c r="A50" i="4"/>
  <c r="G49" i="4"/>
  <c r="F49" i="4"/>
  <c r="E49" i="4"/>
  <c r="D49" i="4"/>
  <c r="C49" i="4"/>
  <c r="B49" i="4"/>
  <c r="A49" i="4"/>
  <c r="G48" i="4"/>
  <c r="F48" i="4"/>
  <c r="E48" i="4"/>
  <c r="D48" i="4"/>
  <c r="C48" i="4"/>
  <c r="B48" i="4"/>
  <c r="A48" i="4"/>
  <c r="G47" i="4"/>
  <c r="F47" i="4"/>
  <c r="E47" i="4"/>
  <c r="D47" i="4"/>
  <c r="C47" i="4"/>
  <c r="B47" i="4"/>
  <c r="A47" i="4"/>
  <c r="G46" i="4"/>
  <c r="F46" i="4"/>
  <c r="E46" i="4"/>
  <c r="D46" i="4"/>
  <c r="C46" i="4"/>
  <c r="B46" i="4"/>
  <c r="A46" i="4"/>
  <c r="G45" i="4"/>
  <c r="F45" i="4"/>
  <c r="E45" i="4"/>
  <c r="D45" i="4"/>
  <c r="C45" i="4"/>
  <c r="B45" i="4"/>
  <c r="A45" i="4"/>
  <c r="G44" i="4"/>
  <c r="F44" i="4"/>
  <c r="E44" i="4"/>
  <c r="D44" i="4"/>
  <c r="C44" i="4"/>
  <c r="B44" i="4"/>
  <c r="A44" i="4"/>
  <c r="G43" i="4"/>
  <c r="F43" i="4"/>
  <c r="E43" i="4"/>
  <c r="D43" i="4"/>
  <c r="C43" i="4"/>
  <c r="B43" i="4"/>
  <c r="A43" i="4"/>
  <c r="G42" i="4"/>
  <c r="F42" i="4"/>
  <c r="E42" i="4"/>
  <c r="D42" i="4"/>
  <c r="C42" i="4"/>
  <c r="B42" i="4"/>
  <c r="A42" i="4"/>
  <c r="G41" i="4"/>
  <c r="F41" i="4"/>
  <c r="E41" i="4"/>
  <c r="D41" i="4"/>
  <c r="C41" i="4"/>
  <c r="B41" i="4"/>
  <c r="A41" i="4"/>
  <c r="G40" i="4"/>
  <c r="F40" i="4"/>
  <c r="E40" i="4"/>
  <c r="D40" i="4"/>
  <c r="C40" i="4"/>
  <c r="B40" i="4"/>
  <c r="A40" i="4"/>
  <c r="G39" i="4"/>
  <c r="F39" i="4"/>
  <c r="E39" i="4"/>
  <c r="D39" i="4"/>
  <c r="C39" i="4"/>
  <c r="B39" i="4"/>
  <c r="A39" i="4"/>
  <c r="G38" i="4"/>
  <c r="F38" i="4"/>
  <c r="E38" i="4"/>
  <c r="D38" i="4"/>
  <c r="C38" i="4"/>
  <c r="B38" i="4"/>
  <c r="A38" i="4"/>
  <c r="G37" i="4"/>
  <c r="F37" i="4"/>
  <c r="E37" i="4"/>
  <c r="D37" i="4"/>
  <c r="C37" i="4"/>
  <c r="B37" i="4"/>
  <c r="A37" i="4"/>
  <c r="G36" i="4"/>
  <c r="F36" i="4"/>
  <c r="E36" i="4"/>
  <c r="D36" i="4"/>
  <c r="C36" i="4"/>
  <c r="B36" i="4"/>
  <c r="A36" i="4"/>
  <c r="G35" i="4"/>
  <c r="F35" i="4"/>
  <c r="E35" i="4"/>
  <c r="D35" i="4"/>
  <c r="C35" i="4"/>
  <c r="B35" i="4"/>
  <c r="A35" i="4"/>
  <c r="G34" i="4"/>
  <c r="F34" i="4"/>
  <c r="E34" i="4"/>
  <c r="D34" i="4"/>
  <c r="C34" i="4"/>
  <c r="B34" i="4"/>
  <c r="A34" i="4"/>
  <c r="G33" i="4"/>
  <c r="F33" i="4"/>
  <c r="E33" i="4"/>
  <c r="D33" i="4"/>
  <c r="C33" i="4"/>
  <c r="B33" i="4"/>
  <c r="A33" i="4"/>
  <c r="G32" i="4"/>
  <c r="F32" i="4"/>
  <c r="E32" i="4"/>
  <c r="D32" i="4"/>
  <c r="C32" i="4"/>
  <c r="B32" i="4"/>
  <c r="A32" i="4"/>
  <c r="G31" i="4"/>
  <c r="F31" i="4"/>
  <c r="E31" i="4"/>
  <c r="D31" i="4"/>
  <c r="C31" i="4"/>
  <c r="B31" i="4"/>
  <c r="A31" i="4"/>
  <c r="G30" i="4"/>
  <c r="F30" i="4"/>
  <c r="E30" i="4"/>
  <c r="D30" i="4"/>
  <c r="C30" i="4"/>
  <c r="B30" i="4"/>
  <c r="A30" i="4"/>
  <c r="G29" i="4"/>
  <c r="F29" i="4"/>
  <c r="E29" i="4"/>
  <c r="D29" i="4"/>
  <c r="C29" i="4"/>
  <c r="B29" i="4"/>
  <c r="A29" i="4"/>
  <c r="G28" i="4"/>
  <c r="F28" i="4"/>
  <c r="E28" i="4"/>
  <c r="D28" i="4"/>
  <c r="C28" i="4"/>
  <c r="B28" i="4"/>
  <c r="A28" i="4"/>
  <c r="G27" i="4"/>
  <c r="F27" i="4"/>
  <c r="E27" i="4"/>
  <c r="D27" i="4"/>
  <c r="C27" i="4"/>
  <c r="B27" i="4"/>
  <c r="A27" i="4"/>
  <c r="G26" i="4"/>
  <c r="F26" i="4"/>
  <c r="E26" i="4"/>
  <c r="D26" i="4"/>
  <c r="C26" i="4"/>
  <c r="B26" i="4"/>
  <c r="A26" i="4"/>
  <c r="G25" i="4"/>
  <c r="F25" i="4"/>
  <c r="E25" i="4"/>
  <c r="D25" i="4"/>
  <c r="C25" i="4"/>
  <c r="B25" i="4"/>
  <c r="A25" i="4"/>
  <c r="G24" i="4"/>
  <c r="F24" i="4"/>
  <c r="E24" i="4"/>
  <c r="D24" i="4"/>
  <c r="C24" i="4"/>
  <c r="B24" i="4"/>
  <c r="A24" i="4"/>
  <c r="G23" i="4"/>
  <c r="F23" i="4"/>
  <c r="E23" i="4"/>
  <c r="D23" i="4"/>
  <c r="C23" i="4"/>
  <c r="B23" i="4"/>
  <c r="A23" i="4"/>
  <c r="G22" i="4"/>
  <c r="F22" i="4"/>
  <c r="E22" i="4"/>
  <c r="D22" i="4"/>
  <c r="C22" i="4"/>
  <c r="B22" i="4"/>
  <c r="A22" i="4"/>
  <c r="G21" i="4"/>
  <c r="F21" i="4"/>
  <c r="E21" i="4"/>
  <c r="D21" i="4"/>
  <c r="C21" i="4"/>
  <c r="B21" i="4"/>
  <c r="A21" i="4"/>
  <c r="G20" i="4"/>
  <c r="F20" i="4"/>
  <c r="E20" i="4"/>
  <c r="D20" i="4"/>
  <c r="C20" i="4"/>
  <c r="B20" i="4"/>
  <c r="A20" i="4"/>
  <c r="G19" i="4"/>
  <c r="F19" i="4"/>
  <c r="E19" i="4"/>
  <c r="D19" i="4"/>
  <c r="C19" i="4"/>
  <c r="B19" i="4"/>
  <c r="A19" i="4"/>
  <c r="G18" i="4"/>
  <c r="F18" i="4"/>
  <c r="E18" i="4"/>
  <c r="D18" i="4"/>
  <c r="C18" i="4"/>
  <c r="B18" i="4"/>
  <c r="A18" i="4"/>
  <c r="G17" i="4"/>
  <c r="F17" i="4"/>
  <c r="E17" i="4"/>
  <c r="D17" i="4"/>
  <c r="C17" i="4"/>
  <c r="B17" i="4"/>
  <c r="A17" i="4"/>
  <c r="G16" i="4"/>
  <c r="F16" i="4"/>
  <c r="E16" i="4"/>
  <c r="D16" i="4"/>
  <c r="C16" i="4"/>
  <c r="B16" i="4"/>
  <c r="A16" i="4"/>
  <c r="G15" i="4"/>
  <c r="F15" i="4"/>
  <c r="E15" i="4"/>
  <c r="D15" i="4"/>
  <c r="C15" i="4"/>
  <c r="B15" i="4"/>
  <c r="A15" i="4"/>
  <c r="G14" i="4"/>
  <c r="F14" i="4"/>
  <c r="E14" i="4"/>
  <c r="D14" i="4"/>
  <c r="C14" i="4"/>
  <c r="B14" i="4"/>
  <c r="A14" i="4"/>
  <c r="G13" i="4"/>
  <c r="F13" i="4"/>
  <c r="E13" i="4"/>
  <c r="D13" i="4"/>
  <c r="C13" i="4"/>
  <c r="B13" i="4"/>
  <c r="A13" i="4"/>
  <c r="G12" i="4"/>
  <c r="F12" i="4"/>
  <c r="E12" i="4"/>
  <c r="D12" i="4"/>
  <c r="C12" i="4"/>
  <c r="B12" i="4"/>
  <c r="A12" i="4"/>
  <c r="G11" i="4"/>
  <c r="F11" i="4"/>
  <c r="E11" i="4"/>
  <c r="D11" i="4"/>
  <c r="C11" i="4"/>
  <c r="B11" i="4"/>
  <c r="A11" i="4"/>
  <c r="G10" i="4"/>
  <c r="F10" i="4"/>
  <c r="E10" i="4"/>
  <c r="D10" i="4"/>
  <c r="C10" i="4"/>
  <c r="B10" i="4"/>
  <c r="A10" i="4"/>
  <c r="G9" i="4"/>
  <c r="F9" i="4"/>
  <c r="E9" i="4"/>
  <c r="D9" i="4"/>
  <c r="C9" i="4"/>
  <c r="B9" i="4"/>
  <c r="A9" i="4"/>
  <c r="G8" i="4"/>
  <c r="F8" i="4"/>
  <c r="E8" i="4"/>
  <c r="D8" i="4"/>
  <c r="C8" i="4"/>
  <c r="B8" i="4"/>
  <c r="A8" i="4"/>
  <c r="G7" i="4"/>
  <c r="F7" i="4"/>
  <c r="E7" i="4"/>
  <c r="D7" i="4"/>
  <c r="C7" i="4"/>
  <c r="B7" i="4"/>
  <c r="A7" i="4"/>
  <c r="G6" i="4"/>
  <c r="F6" i="4"/>
  <c r="E6" i="4"/>
  <c r="D6" i="4"/>
  <c r="C6" i="4"/>
  <c r="B6" i="4"/>
  <c r="A6" i="4"/>
  <c r="G5" i="4"/>
  <c r="F5" i="4"/>
  <c r="E5" i="4"/>
  <c r="D5" i="4"/>
  <c r="C5" i="4"/>
  <c r="B5" i="4"/>
  <c r="A5" i="4"/>
  <c r="G4" i="4"/>
  <c r="F4" i="4"/>
  <c r="E4" i="4"/>
  <c r="D4" i="4"/>
  <c r="C4" i="4"/>
  <c r="B4" i="4"/>
  <c r="A4" i="4"/>
  <c r="G3" i="4"/>
  <c r="F3" i="4"/>
  <c r="E3" i="4"/>
  <c r="D3" i="4"/>
  <c r="C3" i="4"/>
  <c r="B3" i="4"/>
  <c r="A3" i="4"/>
  <c r="G2" i="4"/>
  <c r="F2" i="4"/>
  <c r="E2" i="4"/>
  <c r="D2" i="4"/>
  <c r="C2" i="4"/>
  <c r="B2" i="4"/>
  <c r="A2" i="4"/>
</calcChain>
</file>

<file path=xl/sharedStrings.xml><?xml version="1.0" encoding="utf-8"?>
<sst xmlns="http://schemas.openxmlformats.org/spreadsheetml/2006/main" count="1701" uniqueCount="109">
  <si>
    <t>s</t>
  </si>
  <si>
    <t>campaign_id</t>
  </si>
  <si>
    <t>campaign_name</t>
  </si>
  <si>
    <t>ad_set_id</t>
  </si>
  <si>
    <t>ad_set_name</t>
  </si>
  <si>
    <t>impressions</t>
  </si>
  <si>
    <t>clicks</t>
  </si>
  <si>
    <t>spend</t>
  </si>
  <si>
    <t>conversions</t>
  </si>
  <si>
    <t>video_views</t>
  </si>
  <si>
    <t>engagement_rate</t>
  </si>
  <si>
    <t>reach</t>
  </si>
  <si>
    <t>frequency</t>
  </si>
  <si>
    <t>2024-01-01</t>
  </si>
  <si>
    <t>fb_1001</t>
  </si>
  <si>
    <t>Brand_Awareness_Q1</t>
  </si>
  <si>
    <t>fbset_2001</t>
  </si>
  <si>
    <t>Broad_Audience_18-35</t>
  </si>
  <si>
    <t>fb_1002</t>
  </si>
  <si>
    <t>Conversions_Retargeting</t>
  </si>
  <si>
    <t>fbset_2002</t>
  </si>
  <si>
    <t>Cart_Abandoners</t>
  </si>
  <si>
    <t>fb_1003</t>
  </si>
  <si>
    <t>Traffic_Drive_Jan</t>
  </si>
  <si>
    <t>fbset_2003</t>
  </si>
  <si>
    <t>Lookalike_Purchasers</t>
  </si>
  <si>
    <t>2024-01-02</t>
  </si>
  <si>
    <t>2024-01-03</t>
  </si>
  <si>
    <t>2024-01-04</t>
  </si>
  <si>
    <t>fb_1004</t>
  </si>
  <si>
    <t>Video_Views_Campaign</t>
  </si>
  <si>
    <t>fbset_2004</t>
  </si>
  <si>
    <t>Video_Enthusiasts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</si>
  <si>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</si>
  <si>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</si>
  <si>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</si>
  <si>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</si>
  <si>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</si>
  <si>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</si>
  <si>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</si>
  <si>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</si>
  <si>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</si>
  <si>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</si>
  <si>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</si>
  <si>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</si>
  <si>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</si>
  <si>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</si>
  <si>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</si>
  <si>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</si>
  <si>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</si>
  <si>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</si>
  <si>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</si>
  <si>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</si>
  <si>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</si>
  <si>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</si>
  <si>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</si>
  <si>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</si>
  <si>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</si>
  <si>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</si>
  <si>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date</t>
  </si>
  <si>
    <t>ad_group_id</t>
  </si>
  <si>
    <t>ad_group_name</t>
  </si>
  <si>
    <t>cost</t>
  </si>
  <si>
    <t>conversion_value</t>
  </si>
  <si>
    <t>ctr</t>
  </si>
  <si>
    <t>avg_cpc</t>
  </si>
  <si>
    <t>quality_score</t>
  </si>
  <si>
    <t>search_impression_share</t>
  </si>
  <si>
    <t>g_5001</t>
  </si>
  <si>
    <t>Search_Brand_Terms</t>
  </si>
  <si>
    <t>gad_6001</t>
  </si>
  <si>
    <t>Brand_Exact</t>
  </si>
  <si>
    <t>g_5002</t>
  </si>
  <si>
    <t>Search_Generic_Terms</t>
  </si>
  <si>
    <t>gad_6002</t>
  </si>
  <si>
    <t>Product_Broad</t>
  </si>
  <si>
    <t>g_5003</t>
  </si>
  <si>
    <t>Shopping_All_Products</t>
  </si>
  <si>
    <t>gad_6003</t>
  </si>
  <si>
    <t>Best_Sellers</t>
  </si>
  <si>
    <t>g_5004</t>
  </si>
  <si>
    <t>Display_Remarketing</t>
  </si>
  <si>
    <t>gad_6004</t>
  </si>
  <si>
    <t>adgroup_id</t>
  </si>
  <si>
    <t>adgroup_name</t>
  </si>
  <si>
    <t>video_watch_25</t>
  </si>
  <si>
    <t>video_watch_50</t>
  </si>
  <si>
    <t>video_watch_75</t>
  </si>
  <si>
    <t>video_watch_100</t>
  </si>
  <si>
    <t>likes</t>
  </si>
  <si>
    <t>shares</t>
  </si>
  <si>
    <t>comments</t>
  </si>
  <si>
    <t>tt_8001</t>
  </si>
  <si>
    <t>Awareness_GenZ</t>
  </si>
  <si>
    <t>ttad_9001</t>
  </si>
  <si>
    <t>Dance_Challenge</t>
  </si>
  <si>
    <t>tt_8002</t>
  </si>
  <si>
    <t>Conversion_Focus</t>
  </si>
  <si>
    <t>ttad_9002</t>
  </si>
  <si>
    <t>Product_Demo</t>
  </si>
  <si>
    <t>tt_8003</t>
  </si>
  <si>
    <t>Traffic_Campaign</t>
  </si>
  <si>
    <t>ttad_9003</t>
  </si>
  <si>
    <t>Trending_Sounds</t>
  </si>
  <si>
    <t>tt_8004</t>
  </si>
  <si>
    <t>Influencer_Collab</t>
  </si>
  <si>
    <t>ttad_9004</t>
  </si>
  <si>
    <t>Creator_Partnership</t>
  </si>
  <si>
    <t>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</si>
</sst>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16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4">
    <tableStyle name="Facebook-style" pivot="0" count="4" xr9:uid="{00000000-0011-0000-FFFF-FFFF00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Google-style" pivot="0" count="4" xr9:uid="{00000000-0011-0000-FFFF-FFFF01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TikTok-style" pivot="0" count="4" xr9:uid="{00000000-0011-0000-FFFF-FFFF02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Unified-style" pivot="0" count="4" xr9:uid="{00000000-0011-0000-FFFF-FFFF03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M111">
  <tableColumns count="13">
    <tableColumn id="1" xr3:uid="{00000000-0010-0000-0000-000001000000}" name="s"/>
    <tableColumn id="2" xr3:uid="{00000000-0010-0000-0000-000002000000}" name="campaign_id"/>
    <tableColumn id="3" xr3:uid="{00000000-0010-0000-0000-000003000000}" name="campaign_name"/>
    <tableColumn id="4" xr3:uid="{00000000-0010-0000-0000-000004000000}" name="ad_set_id"/>
    <tableColumn id="5" xr3:uid="{00000000-0010-0000-0000-000005000000}" name="ad_set_name"/>
    <tableColumn id="6" xr3:uid="{00000000-0010-0000-0000-000006000000}" name="impressions"/>
    <tableColumn id="7" xr3:uid="{00000000-0010-0000-0000-000007000000}" name="clicks"/>
    <tableColumn id="8" xr3:uid="{00000000-0010-0000-0000-000008000000}" name="spend"/>
    <tableColumn id="9" xr3:uid="{00000000-0010-0000-0000-000009000000}" name="conversions"/>
    <tableColumn id="10" xr3:uid="{00000000-0010-0000-0000-00000A000000}" name="video_views"/>
    <tableColumn id="11" xr3:uid="{00000000-0010-0000-0000-00000B000000}" name="engagement_rate"/>
    <tableColumn id="12" xr3:uid="{00000000-0010-0000-0000-00000C000000}" name="reach"/>
    <tableColumn id="13" xr3:uid="{00000000-0010-0000-0000-00000D000000}" name="frequency"/>
  </tableColumns>
  <tableStyleInfo name="Faceboo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N111">
  <tableColumns count="14">
    <tableColumn id="1" xr3:uid="{00000000-0010-0000-0100-000001000000}" name="date"/>
    <tableColumn id="2" xr3:uid="{00000000-0010-0000-0100-000002000000}" name="campaign_id"/>
    <tableColumn id="3" xr3:uid="{00000000-0010-0000-0100-000003000000}" name="campaign_name"/>
    <tableColumn id="4" xr3:uid="{00000000-0010-0000-0100-000004000000}" name="ad_group_id"/>
    <tableColumn id="5" xr3:uid="{00000000-0010-0000-0100-000005000000}" name="ad_group_name"/>
    <tableColumn id="6" xr3:uid="{00000000-0010-0000-0100-000006000000}" name="impressions"/>
    <tableColumn id="7" xr3:uid="{00000000-0010-0000-0100-000007000000}" name="clicks"/>
    <tableColumn id="8" xr3:uid="{00000000-0010-0000-0100-000008000000}" name="cost"/>
    <tableColumn id="9" xr3:uid="{00000000-0010-0000-0100-000009000000}" name="conversions"/>
    <tableColumn id="10" xr3:uid="{00000000-0010-0000-0100-00000A000000}" name="conversion_value"/>
    <tableColumn id="11" xr3:uid="{00000000-0010-0000-0100-00000B000000}" name="ctr"/>
    <tableColumn id="12" xr3:uid="{00000000-0010-0000-0100-00000C000000}" name="avg_cpc"/>
    <tableColumn id="13" xr3:uid="{00000000-0010-0000-0100-00000D000000}" name="quality_score"/>
    <tableColumn id="14" xr3:uid="{00000000-0010-0000-0100-00000E000000}" name="search_impression_share"/>
  </tableColumns>
  <tableStyleInfo name="Google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Q111">
  <tableColumns count="17">
    <tableColumn id="1" xr3:uid="{00000000-0010-0000-0200-000001000000}" name="date"/>
    <tableColumn id="2" xr3:uid="{00000000-0010-0000-0200-000002000000}" name="campaign_id"/>
    <tableColumn id="3" xr3:uid="{00000000-0010-0000-0200-000003000000}" name="campaign_name"/>
    <tableColumn id="4" xr3:uid="{00000000-0010-0000-0200-000004000000}" name="adgroup_id"/>
    <tableColumn id="5" xr3:uid="{00000000-0010-0000-0200-000005000000}" name="adgroup_name"/>
    <tableColumn id="6" xr3:uid="{00000000-0010-0000-0200-000006000000}" name="impressions"/>
    <tableColumn id="7" xr3:uid="{00000000-0010-0000-0200-000007000000}" name="clicks"/>
    <tableColumn id="8" xr3:uid="{00000000-0010-0000-0200-000008000000}" name="cost"/>
    <tableColumn id="9" xr3:uid="{00000000-0010-0000-0200-000009000000}" name="conversions"/>
    <tableColumn id="10" xr3:uid="{00000000-0010-0000-0200-00000A000000}" name="video_views"/>
    <tableColumn id="11" xr3:uid="{00000000-0010-0000-0200-00000B000000}" name="video_watch_25"/>
    <tableColumn id="12" xr3:uid="{00000000-0010-0000-0200-00000C000000}" name="video_watch_50"/>
    <tableColumn id="13" xr3:uid="{00000000-0010-0000-0200-00000D000000}" name="video_watch_75"/>
    <tableColumn id="14" xr3:uid="{00000000-0010-0000-0200-00000E000000}" name="video_watch_100"/>
    <tableColumn id="15" xr3:uid="{00000000-0010-0000-0200-00000F000000}" name="likes"/>
    <tableColumn id="16" xr3:uid="{00000000-0010-0000-0200-000010000000}" name="shares"/>
    <tableColumn id="17" xr3:uid="{00000000-0010-0000-0200-000011000000}" name="comments"/>
  </tableColumns>
  <tableStyleInfo name="TikTok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G331">
  <tableColumns count="7">
    <tableColumn id="1" xr3:uid="{00000000-0010-0000-0300-000001000000}" name="date"/>
    <tableColumn id="2" xr3:uid="{00000000-0010-0000-0300-000002000000}" name="platform"/>
    <tableColumn id="3" xr3:uid="{00000000-0010-0000-0300-000003000000}" name="campaign_name"/>
    <tableColumn id="4" xr3:uid="{00000000-0010-0000-0300-000004000000}" name="impressions"/>
    <tableColumn id="5" xr3:uid="{00000000-0010-0000-0300-000005000000}" name="clicks"/>
    <tableColumn id="6" xr3:uid="{00000000-0010-0000-0300-000006000000}" name="spend"/>
    <tableColumn id="7" xr3:uid="{00000000-0010-0000-0300-000007000000}" name="conversions"/>
  </tableColumns>
  <tableStyleInfo name="Unifie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7.5" customWidth="1"/>
    <col min="2" max="2" width="21.83203125" customWidth="1"/>
    <col min="3" max="3" width="25.83203125" customWidth="1"/>
    <col min="4" max="4" width="18.6640625" customWidth="1"/>
    <col min="5" max="5" width="28.33203125" customWidth="1"/>
    <col min="6" max="6" width="21.5" customWidth="1"/>
    <col min="7" max="7" width="15.33203125" customWidth="1"/>
    <col min="8" max="8" width="15.6640625" customWidth="1"/>
    <col min="9" max="10" width="21.33203125" customWidth="1"/>
    <col min="11" max="11" width="26.1640625" customWidth="1"/>
    <col min="12" max="12" width="15.1640625" customWidth="1"/>
    <col min="13" max="13" width="19.33203125" customWidth="1"/>
    <col min="14" max="26" width="8.6640625" customWidth="1"/>
  </cols>
  <sheetData>
    <row r="1" spans="1:13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2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45623</v>
      </c>
      <c r="G2" s="2">
        <v>892</v>
      </c>
      <c r="H2" s="2">
        <v>127.5</v>
      </c>
      <c r="I2" s="2">
        <v>12</v>
      </c>
      <c r="J2" s="2">
        <v>8234</v>
      </c>
      <c r="K2" s="2">
        <v>1.95E-2</v>
      </c>
      <c r="L2" s="2">
        <v>38234</v>
      </c>
      <c r="M2" s="2">
        <v>1.19</v>
      </c>
    </row>
    <row r="3" spans="1:13" ht="22.5" customHeight="1" x14ac:dyDescent="0.2">
      <c r="A3" s="2" t="s">
        <v>13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12456</v>
      </c>
      <c r="G3" s="2">
        <v>567</v>
      </c>
      <c r="H3" s="2">
        <v>215.8</v>
      </c>
      <c r="I3" s="2">
        <v>34</v>
      </c>
      <c r="J3" s="2">
        <v>1234</v>
      </c>
      <c r="K3" s="2">
        <v>4.5499999999999999E-2</v>
      </c>
      <c r="L3" s="2">
        <v>9876</v>
      </c>
      <c r="M3" s="2">
        <v>1.26</v>
      </c>
    </row>
    <row r="4" spans="1:13" ht="22.5" customHeight="1" x14ac:dyDescent="0.2">
      <c r="A4" s="2" t="s">
        <v>13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34567</v>
      </c>
      <c r="G4" s="2">
        <v>1234</v>
      </c>
      <c r="H4" s="2">
        <v>189.9</v>
      </c>
      <c r="I4" s="2">
        <v>23</v>
      </c>
      <c r="J4" s="2">
        <v>4567</v>
      </c>
      <c r="K4" s="2">
        <v>3.5700000000000003E-2</v>
      </c>
      <c r="L4" s="2">
        <v>28934</v>
      </c>
      <c r="M4" s="2">
        <v>1.19</v>
      </c>
    </row>
    <row r="5" spans="1:13" ht="22.5" customHeight="1" x14ac:dyDescent="0.2">
      <c r="A5" s="2" t="s">
        <v>26</v>
      </c>
      <c r="B5" s="2" t="s">
        <v>14</v>
      </c>
      <c r="C5" s="2" t="s">
        <v>15</v>
      </c>
      <c r="D5" s="2" t="s">
        <v>16</v>
      </c>
      <c r="E5" s="2" t="s">
        <v>17</v>
      </c>
      <c r="F5" s="2">
        <v>42345</v>
      </c>
      <c r="G5" s="2">
        <v>823</v>
      </c>
      <c r="H5" s="2">
        <v>118.2</v>
      </c>
      <c r="I5" s="2">
        <v>10</v>
      </c>
      <c r="J5" s="2">
        <v>7890</v>
      </c>
      <c r="K5" s="2">
        <v>1.9400000000000001E-2</v>
      </c>
      <c r="L5" s="2">
        <v>36789</v>
      </c>
      <c r="M5" s="2">
        <v>1.1499999999999999</v>
      </c>
    </row>
    <row r="6" spans="1:13" ht="22.5" customHeight="1" x14ac:dyDescent="0.2">
      <c r="A6" s="2" t="s">
        <v>26</v>
      </c>
      <c r="B6" s="2" t="s">
        <v>18</v>
      </c>
      <c r="C6" s="2" t="s">
        <v>19</v>
      </c>
      <c r="D6" s="2" t="s">
        <v>20</v>
      </c>
      <c r="E6" s="2" t="s">
        <v>21</v>
      </c>
      <c r="F6" s="2">
        <v>13678</v>
      </c>
      <c r="G6" s="2">
        <v>623</v>
      </c>
      <c r="H6" s="2">
        <v>234.5</v>
      </c>
      <c r="I6" s="2">
        <v>38</v>
      </c>
      <c r="J6" s="2">
        <v>1456</v>
      </c>
      <c r="K6" s="2">
        <v>4.5499999999999999E-2</v>
      </c>
      <c r="L6" s="2">
        <v>10234</v>
      </c>
      <c r="M6" s="2">
        <v>1.34</v>
      </c>
    </row>
    <row r="7" spans="1:13" ht="22.5" customHeight="1" x14ac:dyDescent="0.2">
      <c r="A7" s="2" t="s">
        <v>26</v>
      </c>
      <c r="B7" s="2" t="s">
        <v>22</v>
      </c>
      <c r="C7" s="2" t="s">
        <v>23</v>
      </c>
      <c r="D7" s="2" t="s">
        <v>24</v>
      </c>
      <c r="E7" s="2" t="s">
        <v>25</v>
      </c>
      <c r="F7" s="2">
        <v>36789</v>
      </c>
      <c r="G7" s="2">
        <v>1345</v>
      </c>
      <c r="H7" s="2">
        <v>201.3</v>
      </c>
      <c r="I7" s="2">
        <v>25</v>
      </c>
      <c r="J7" s="2">
        <v>4890</v>
      </c>
      <c r="K7" s="2">
        <v>3.6600000000000001E-2</v>
      </c>
      <c r="L7" s="2">
        <v>30123</v>
      </c>
      <c r="M7" s="2">
        <v>1.22</v>
      </c>
    </row>
    <row r="8" spans="1:13" ht="22.5" customHeight="1" x14ac:dyDescent="0.2">
      <c r="A8" s="2" t="s">
        <v>27</v>
      </c>
      <c r="B8" s="2" t="s">
        <v>14</v>
      </c>
      <c r="C8" s="2" t="s">
        <v>15</v>
      </c>
      <c r="D8" s="2" t="s">
        <v>16</v>
      </c>
      <c r="E8" s="2" t="s">
        <v>17</v>
      </c>
      <c r="F8" s="2">
        <v>48234</v>
      </c>
      <c r="G8" s="2">
        <v>967</v>
      </c>
      <c r="H8" s="2">
        <v>134.80000000000001</v>
      </c>
      <c r="I8" s="2">
        <v>14</v>
      </c>
      <c r="J8" s="2">
        <v>8901</v>
      </c>
      <c r="K8" s="2">
        <v>2.01E-2</v>
      </c>
      <c r="L8" s="2">
        <v>40123</v>
      </c>
      <c r="M8" s="2">
        <v>1.2</v>
      </c>
    </row>
    <row r="9" spans="1:13" ht="22.5" customHeight="1" x14ac:dyDescent="0.2">
      <c r="A9" s="2" t="s">
        <v>27</v>
      </c>
      <c r="B9" s="2" t="s">
        <v>18</v>
      </c>
      <c r="C9" s="2" t="s">
        <v>19</v>
      </c>
      <c r="D9" s="2" t="s">
        <v>20</v>
      </c>
      <c r="E9" s="2" t="s">
        <v>21</v>
      </c>
      <c r="F9" s="2">
        <v>11234</v>
      </c>
      <c r="G9" s="2">
        <v>489</v>
      </c>
      <c r="H9" s="2">
        <v>198.7</v>
      </c>
      <c r="I9" s="2">
        <v>31</v>
      </c>
      <c r="J9" s="2">
        <v>1123</v>
      </c>
      <c r="K9" s="2">
        <v>4.3499999999999997E-2</v>
      </c>
      <c r="L9" s="2">
        <v>8901</v>
      </c>
      <c r="M9" s="2">
        <v>1.26</v>
      </c>
    </row>
    <row r="10" spans="1:13" ht="22.5" customHeight="1" x14ac:dyDescent="0.2">
      <c r="A10" s="2" t="s">
        <v>27</v>
      </c>
      <c r="B10" s="2" t="s">
        <v>22</v>
      </c>
      <c r="C10" s="2" t="s">
        <v>23</v>
      </c>
      <c r="D10" s="2" t="s">
        <v>24</v>
      </c>
      <c r="E10" s="2" t="s">
        <v>25</v>
      </c>
      <c r="F10" s="2">
        <v>38901</v>
      </c>
      <c r="G10" s="2">
        <v>1456</v>
      </c>
      <c r="H10" s="2">
        <v>213.4</v>
      </c>
      <c r="I10" s="2">
        <v>28</v>
      </c>
      <c r="J10" s="2">
        <v>5234</v>
      </c>
      <c r="K10" s="2">
        <v>3.7499999999999999E-2</v>
      </c>
      <c r="L10" s="2">
        <v>31456</v>
      </c>
      <c r="M10" s="2">
        <v>1.24</v>
      </c>
    </row>
    <row r="11" spans="1:13" ht="22.5" customHeight="1" x14ac:dyDescent="0.2">
      <c r="A11" s="2" t="s">
        <v>28</v>
      </c>
      <c r="B11" s="2" t="s">
        <v>14</v>
      </c>
      <c r="C11" s="2" t="s">
        <v>15</v>
      </c>
      <c r="D11" s="2" t="s">
        <v>16</v>
      </c>
      <c r="E11" s="2" t="s">
        <v>17</v>
      </c>
      <c r="F11" s="2">
        <v>51234</v>
      </c>
      <c r="G11" s="2">
        <v>1023</v>
      </c>
      <c r="H11" s="2">
        <v>142.30000000000001</v>
      </c>
      <c r="I11" s="2">
        <v>15</v>
      </c>
      <c r="J11" s="2">
        <v>9234</v>
      </c>
      <c r="K11" s="2">
        <v>0.02</v>
      </c>
      <c r="L11" s="2">
        <v>42567</v>
      </c>
      <c r="M11" s="2">
        <v>1.2</v>
      </c>
    </row>
    <row r="12" spans="1:13" ht="22.5" customHeight="1" x14ac:dyDescent="0.2">
      <c r="A12" s="2" t="s">
        <v>28</v>
      </c>
      <c r="B12" s="2" t="s">
        <v>18</v>
      </c>
      <c r="C12" s="2" t="s">
        <v>19</v>
      </c>
      <c r="D12" s="2" t="s">
        <v>20</v>
      </c>
      <c r="E12" s="2" t="s">
        <v>21</v>
      </c>
      <c r="F12" s="2">
        <v>14567</v>
      </c>
      <c r="G12" s="2">
        <v>678</v>
      </c>
      <c r="H12" s="2">
        <v>245.6</v>
      </c>
      <c r="I12" s="2">
        <v>42</v>
      </c>
      <c r="J12" s="2">
        <v>1567</v>
      </c>
      <c r="K12" s="2">
        <v>4.65E-2</v>
      </c>
      <c r="L12" s="2">
        <v>11234</v>
      </c>
      <c r="M12" s="2">
        <v>1.3</v>
      </c>
    </row>
    <row r="13" spans="1:13" ht="22.5" customHeight="1" x14ac:dyDescent="0.2">
      <c r="A13" s="2" t="s">
        <v>28</v>
      </c>
      <c r="B13" s="2" t="s">
        <v>29</v>
      </c>
      <c r="C13" s="2" t="s">
        <v>30</v>
      </c>
      <c r="D13" s="2" t="s">
        <v>31</v>
      </c>
      <c r="E13" s="2" t="s">
        <v>32</v>
      </c>
      <c r="F13" s="2">
        <v>67890</v>
      </c>
      <c r="G13" s="2">
        <v>234</v>
      </c>
      <c r="H13" s="2">
        <v>89.5</v>
      </c>
      <c r="I13" s="2">
        <v>5</v>
      </c>
      <c r="J13" s="2">
        <v>45678</v>
      </c>
      <c r="K13" s="2">
        <v>3.3999999999999998E-3</v>
      </c>
      <c r="L13" s="2">
        <v>56789</v>
      </c>
      <c r="M13" s="2">
        <v>1.2</v>
      </c>
    </row>
    <row r="14" spans="1:13" ht="22.5" customHeight="1" x14ac:dyDescent="0.2">
      <c r="A14" s="2" t="s">
        <v>33</v>
      </c>
      <c r="B14" s="2" t="s">
        <v>14</v>
      </c>
      <c r="C14" s="2" t="s">
        <v>15</v>
      </c>
      <c r="D14" s="2" t="s">
        <v>16</v>
      </c>
      <c r="E14" s="2" t="s">
        <v>17</v>
      </c>
      <c r="F14" s="2">
        <v>46789</v>
      </c>
      <c r="G14" s="2">
        <v>934</v>
      </c>
      <c r="H14" s="2">
        <v>131.19999999999999</v>
      </c>
      <c r="I14" s="2">
        <v>13</v>
      </c>
      <c r="J14" s="2">
        <v>8567</v>
      </c>
      <c r="K14" s="2">
        <v>0.02</v>
      </c>
      <c r="L14" s="2">
        <v>39234</v>
      </c>
      <c r="M14" s="2">
        <v>1.19</v>
      </c>
    </row>
    <row r="15" spans="1:13" ht="22.5" customHeight="1" x14ac:dyDescent="0.2">
      <c r="A15" s="2" t="s">
        <v>33</v>
      </c>
      <c r="B15" s="2" t="s">
        <v>18</v>
      </c>
      <c r="C15" s="2" t="s">
        <v>19</v>
      </c>
      <c r="D15" s="2" t="s">
        <v>20</v>
      </c>
      <c r="E15" s="2" t="s">
        <v>21</v>
      </c>
      <c r="F15" s="2">
        <v>12890</v>
      </c>
      <c r="G15" s="2">
        <v>567</v>
      </c>
      <c r="H15" s="2">
        <v>220.3</v>
      </c>
      <c r="I15" s="2">
        <v>36</v>
      </c>
      <c r="J15" s="2">
        <v>1345</v>
      </c>
      <c r="K15" s="2">
        <v>4.3999999999999997E-2</v>
      </c>
      <c r="L15" s="2">
        <v>10123</v>
      </c>
      <c r="M15" s="2">
        <v>1.27</v>
      </c>
    </row>
    <row r="16" spans="1:13" ht="22.5" customHeight="1" x14ac:dyDescent="0.2">
      <c r="A16" s="2" t="s">
        <v>33</v>
      </c>
      <c r="B16" s="2" t="s">
        <v>29</v>
      </c>
      <c r="C16" s="2" t="s">
        <v>30</v>
      </c>
      <c r="D16" s="2" t="s">
        <v>31</v>
      </c>
      <c r="E16" s="2" t="s">
        <v>32</v>
      </c>
      <c r="F16" s="2">
        <v>71234</v>
      </c>
      <c r="G16" s="2">
        <v>256</v>
      </c>
      <c r="H16" s="2">
        <v>94.8</v>
      </c>
      <c r="I16" s="2">
        <v>6</v>
      </c>
      <c r="J16" s="2">
        <v>48901</v>
      </c>
      <c r="K16" s="2">
        <v>3.5999999999999999E-3</v>
      </c>
      <c r="L16" s="2">
        <v>59234</v>
      </c>
      <c r="M16" s="2">
        <v>1.2</v>
      </c>
    </row>
    <row r="17" spans="1:13" ht="22.5" customHeight="1" x14ac:dyDescent="0.2">
      <c r="A17" s="2" t="s">
        <v>34</v>
      </c>
      <c r="B17" s="2" t="s">
        <v>14</v>
      </c>
      <c r="C17" s="2" t="s">
        <v>15</v>
      </c>
      <c r="D17" s="2" t="s">
        <v>16</v>
      </c>
      <c r="E17" s="2" t="s">
        <v>17</v>
      </c>
      <c r="F17" s="2">
        <v>44567</v>
      </c>
      <c r="G17" s="2">
        <v>878</v>
      </c>
      <c r="H17" s="2">
        <v>125.6</v>
      </c>
      <c r="I17" s="2">
        <v>11</v>
      </c>
      <c r="J17" s="2">
        <v>8123</v>
      </c>
      <c r="K17" s="2">
        <v>1.9699999999999999E-2</v>
      </c>
      <c r="L17" s="2">
        <v>37456</v>
      </c>
      <c r="M17" s="2">
        <v>1.19</v>
      </c>
    </row>
    <row r="18" spans="1:13" ht="22.5" customHeight="1" x14ac:dyDescent="0.2">
      <c r="A18" s="2" t="s">
        <v>34</v>
      </c>
      <c r="B18" s="2" t="s">
        <v>22</v>
      </c>
      <c r="C18" s="2" t="s">
        <v>23</v>
      </c>
      <c r="D18" s="2" t="s">
        <v>24</v>
      </c>
      <c r="E18" s="2" t="s">
        <v>25</v>
      </c>
      <c r="F18" s="2">
        <v>35678</v>
      </c>
      <c r="G18" s="2">
        <v>1289</v>
      </c>
      <c r="H18" s="2">
        <v>195.6</v>
      </c>
      <c r="I18" s="2">
        <v>24</v>
      </c>
      <c r="J18" s="2">
        <v>4678</v>
      </c>
      <c r="K18" s="2">
        <v>3.61E-2</v>
      </c>
      <c r="L18" s="2">
        <v>29345</v>
      </c>
      <c r="M18" s="2">
        <v>1.22</v>
      </c>
    </row>
    <row r="19" spans="1:13" ht="22.5" customHeight="1" x14ac:dyDescent="0.2">
      <c r="A19" s="2" t="s">
        <v>34</v>
      </c>
      <c r="B19" s="2" t="s">
        <v>29</v>
      </c>
      <c r="C19" s="2" t="s">
        <v>30</v>
      </c>
      <c r="D19" s="2" t="s">
        <v>31</v>
      </c>
      <c r="E19" s="2" t="s">
        <v>32</v>
      </c>
      <c r="F19" s="2">
        <v>69456</v>
      </c>
      <c r="G19" s="2">
        <v>245</v>
      </c>
      <c r="H19" s="2">
        <v>91.2</v>
      </c>
      <c r="I19" s="2">
        <v>5</v>
      </c>
      <c r="J19" s="2">
        <v>47234</v>
      </c>
      <c r="K19" s="2">
        <v>3.5000000000000001E-3</v>
      </c>
      <c r="L19" s="2">
        <v>57890</v>
      </c>
      <c r="M19" s="2">
        <v>1.2</v>
      </c>
    </row>
    <row r="20" spans="1:13" ht="22.5" customHeight="1" x14ac:dyDescent="0.2">
      <c r="A20" s="2" t="s">
        <v>35</v>
      </c>
      <c r="B20" s="2" t="s">
        <v>14</v>
      </c>
      <c r="C20" s="2" t="s">
        <v>15</v>
      </c>
      <c r="D20" s="2" t="s">
        <v>16</v>
      </c>
      <c r="E20" s="2" t="s">
        <v>17</v>
      </c>
      <c r="F20" s="2">
        <v>49876</v>
      </c>
      <c r="G20" s="2">
        <v>1067</v>
      </c>
      <c r="H20" s="2">
        <v>145.9</v>
      </c>
      <c r="I20" s="2">
        <v>16</v>
      </c>
      <c r="J20" s="2">
        <v>9567</v>
      </c>
      <c r="K20" s="2">
        <v>2.1399999999999999E-2</v>
      </c>
      <c r="L20" s="2">
        <v>41234</v>
      </c>
      <c r="M20" s="2">
        <v>1.21</v>
      </c>
    </row>
    <row r="21" spans="1:13" ht="15.75" customHeight="1" x14ac:dyDescent="0.2">
      <c r="A21" s="2" t="s">
        <v>35</v>
      </c>
      <c r="B21" s="2" t="s">
        <v>18</v>
      </c>
      <c r="C21" s="2" t="s">
        <v>19</v>
      </c>
      <c r="D21" s="2" t="s">
        <v>20</v>
      </c>
      <c r="E21" s="2" t="s">
        <v>21</v>
      </c>
      <c r="F21" s="2">
        <v>13456</v>
      </c>
      <c r="G21" s="2">
        <v>623</v>
      </c>
      <c r="H21" s="2">
        <v>237.8</v>
      </c>
      <c r="I21" s="2">
        <v>40</v>
      </c>
      <c r="J21" s="2">
        <v>1456</v>
      </c>
      <c r="K21" s="2">
        <v>4.6300000000000001E-2</v>
      </c>
      <c r="L21" s="2">
        <v>10567</v>
      </c>
      <c r="M21" s="2">
        <v>1.27</v>
      </c>
    </row>
    <row r="22" spans="1:13" ht="15.75" customHeight="1" x14ac:dyDescent="0.2">
      <c r="A22" s="2" t="s">
        <v>35</v>
      </c>
      <c r="B22" s="2" t="s">
        <v>22</v>
      </c>
      <c r="C22" s="2" t="s">
        <v>23</v>
      </c>
      <c r="D22" s="2" t="s">
        <v>24</v>
      </c>
      <c r="E22" s="2" t="s">
        <v>25</v>
      </c>
      <c r="F22" s="2">
        <v>37234</v>
      </c>
      <c r="G22" s="2">
        <v>1367</v>
      </c>
      <c r="H22" s="2">
        <v>207.9</v>
      </c>
      <c r="I22" s="2">
        <v>27</v>
      </c>
      <c r="J22" s="2">
        <v>5012</v>
      </c>
      <c r="K22" s="2">
        <v>3.6700000000000003E-2</v>
      </c>
      <c r="L22" s="2">
        <v>30678</v>
      </c>
      <c r="M22" s="2">
        <v>1.21</v>
      </c>
    </row>
    <row r="23" spans="1:13" ht="15.75" customHeight="1" x14ac:dyDescent="0.2">
      <c r="A23" s="2" t="s">
        <v>36</v>
      </c>
      <c r="B23" s="2" t="s">
        <v>14</v>
      </c>
      <c r="C23" s="2" t="s">
        <v>15</v>
      </c>
      <c r="D23" s="2" t="s">
        <v>16</v>
      </c>
      <c r="E23" s="2" t="s">
        <v>17</v>
      </c>
      <c r="F23" s="2">
        <v>47234</v>
      </c>
      <c r="G23" s="2">
        <v>945</v>
      </c>
      <c r="H23" s="2">
        <v>135.4</v>
      </c>
      <c r="I23" s="2">
        <v>14</v>
      </c>
      <c r="J23" s="2">
        <v>8789</v>
      </c>
      <c r="K23" s="2">
        <v>0.02</v>
      </c>
      <c r="L23" s="2">
        <v>39567</v>
      </c>
      <c r="M23" s="2">
        <v>1.19</v>
      </c>
    </row>
    <row r="24" spans="1:13" ht="15.75" customHeight="1" x14ac:dyDescent="0.2">
      <c r="A24" s="2" t="s">
        <v>36</v>
      </c>
      <c r="B24" s="2" t="s">
        <v>18</v>
      </c>
      <c r="C24" s="2" t="s">
        <v>19</v>
      </c>
      <c r="D24" s="2" t="s">
        <v>20</v>
      </c>
      <c r="E24" s="2" t="s">
        <v>21</v>
      </c>
      <c r="F24" s="2">
        <v>12123</v>
      </c>
      <c r="G24" s="2">
        <v>534</v>
      </c>
      <c r="H24" s="2">
        <v>212.4</v>
      </c>
      <c r="I24" s="2">
        <v>35</v>
      </c>
      <c r="J24" s="2">
        <v>1234</v>
      </c>
      <c r="K24" s="2">
        <v>4.41E-2</v>
      </c>
      <c r="L24" s="2">
        <v>9567</v>
      </c>
      <c r="M24" s="2">
        <v>1.27</v>
      </c>
    </row>
    <row r="25" spans="1:13" ht="15.75" customHeight="1" x14ac:dyDescent="0.2">
      <c r="A25" s="2" t="s">
        <v>36</v>
      </c>
      <c r="B25" s="2" t="s">
        <v>29</v>
      </c>
      <c r="C25" s="2" t="s">
        <v>30</v>
      </c>
      <c r="D25" s="2" t="s">
        <v>31</v>
      </c>
      <c r="E25" s="2" t="s">
        <v>32</v>
      </c>
      <c r="F25" s="2">
        <v>73456</v>
      </c>
      <c r="G25" s="2">
        <v>267</v>
      </c>
      <c r="H25" s="2">
        <v>98.3</v>
      </c>
      <c r="I25" s="2">
        <v>7</v>
      </c>
      <c r="J25" s="2">
        <v>50123</v>
      </c>
      <c r="K25" s="2">
        <v>3.5999999999999999E-3</v>
      </c>
      <c r="L25" s="2">
        <v>60234</v>
      </c>
      <c r="M25" s="2">
        <v>1.22</v>
      </c>
    </row>
    <row r="26" spans="1:13" ht="15.75" customHeight="1" x14ac:dyDescent="0.2">
      <c r="A26" s="2" t="s">
        <v>37</v>
      </c>
      <c r="B26" s="2" t="s">
        <v>14</v>
      </c>
      <c r="C26" s="2" t="s">
        <v>15</v>
      </c>
      <c r="D26" s="2" t="s">
        <v>16</v>
      </c>
      <c r="E26" s="2" t="s">
        <v>17</v>
      </c>
      <c r="F26" s="2">
        <v>50123</v>
      </c>
      <c r="G26" s="2">
        <v>1012</v>
      </c>
      <c r="H26" s="2">
        <v>141.69999999999999</v>
      </c>
      <c r="I26" s="2">
        <v>15</v>
      </c>
      <c r="J26" s="2">
        <v>9345</v>
      </c>
      <c r="K26" s="2">
        <v>2.0199999999999999E-2</v>
      </c>
      <c r="L26" s="2">
        <v>41890</v>
      </c>
      <c r="M26" s="2">
        <v>1.2</v>
      </c>
    </row>
    <row r="27" spans="1:13" ht="15.75" customHeight="1" x14ac:dyDescent="0.2">
      <c r="A27" s="2" t="s">
        <v>37</v>
      </c>
      <c r="B27" s="2" t="s">
        <v>22</v>
      </c>
      <c r="C27" s="2" t="s">
        <v>23</v>
      </c>
      <c r="D27" s="2" t="s">
        <v>24</v>
      </c>
      <c r="E27" s="2" t="s">
        <v>25</v>
      </c>
      <c r="F27" s="2">
        <v>36456</v>
      </c>
      <c r="G27" s="2">
        <v>1312</v>
      </c>
      <c r="H27" s="2">
        <v>199.8</v>
      </c>
      <c r="I27" s="2">
        <v>26</v>
      </c>
      <c r="J27" s="2">
        <v>4823</v>
      </c>
      <c r="K27" s="2">
        <v>3.5999999999999997E-2</v>
      </c>
      <c r="L27" s="2">
        <v>30234</v>
      </c>
      <c r="M27" s="2">
        <v>1.21</v>
      </c>
    </row>
    <row r="28" spans="1:13" ht="15.75" customHeight="1" x14ac:dyDescent="0.2">
      <c r="A28" s="2" t="s">
        <v>37</v>
      </c>
      <c r="B28" s="2" t="s">
        <v>29</v>
      </c>
      <c r="C28" s="2" t="s">
        <v>30</v>
      </c>
      <c r="D28" s="2" t="s">
        <v>31</v>
      </c>
      <c r="E28" s="2" t="s">
        <v>32</v>
      </c>
      <c r="F28" s="2">
        <v>70123</v>
      </c>
      <c r="G28" s="2">
        <v>253</v>
      </c>
      <c r="H28" s="2">
        <v>93.6</v>
      </c>
      <c r="I28" s="2">
        <v>6</v>
      </c>
      <c r="J28" s="2">
        <v>48234</v>
      </c>
      <c r="K28" s="2">
        <v>3.5999999999999999E-3</v>
      </c>
      <c r="L28" s="2">
        <v>58456</v>
      </c>
      <c r="M28" s="2">
        <v>1.2</v>
      </c>
    </row>
    <row r="29" spans="1:13" ht="15.75" customHeight="1" x14ac:dyDescent="0.2">
      <c r="A29" s="2" t="s">
        <v>38</v>
      </c>
      <c r="B29" s="2" t="s">
        <v>14</v>
      </c>
      <c r="C29" s="2" t="s">
        <v>15</v>
      </c>
      <c r="D29" s="2" t="s">
        <v>16</v>
      </c>
      <c r="E29" s="2" t="s">
        <v>17</v>
      </c>
      <c r="F29" s="2">
        <v>48567</v>
      </c>
      <c r="G29" s="2">
        <v>978</v>
      </c>
      <c r="H29" s="2">
        <v>137.80000000000001</v>
      </c>
      <c r="I29" s="2">
        <v>14</v>
      </c>
      <c r="J29" s="2">
        <v>8945</v>
      </c>
      <c r="K29" s="2">
        <v>2.01E-2</v>
      </c>
      <c r="L29" s="2">
        <v>40456</v>
      </c>
      <c r="M29" s="2">
        <v>1.2</v>
      </c>
    </row>
    <row r="30" spans="1:13" ht="15.75" customHeight="1" x14ac:dyDescent="0.2">
      <c r="A30" s="2" t="s">
        <v>38</v>
      </c>
      <c r="B30" s="2" t="s">
        <v>18</v>
      </c>
      <c r="C30" s="2" t="s">
        <v>19</v>
      </c>
      <c r="D30" s="2" t="s">
        <v>20</v>
      </c>
      <c r="E30" s="2" t="s">
        <v>21</v>
      </c>
      <c r="F30" s="2">
        <v>13789</v>
      </c>
      <c r="G30" s="2">
        <v>645</v>
      </c>
      <c r="H30" s="2">
        <v>241.2</v>
      </c>
      <c r="I30" s="2">
        <v>41</v>
      </c>
      <c r="J30" s="2">
        <v>1489</v>
      </c>
      <c r="K30" s="2">
        <v>4.6800000000000001E-2</v>
      </c>
      <c r="L30" s="2">
        <v>10789</v>
      </c>
      <c r="M30" s="2">
        <v>1.28</v>
      </c>
    </row>
    <row r="31" spans="1:13" ht="15.75" customHeight="1" x14ac:dyDescent="0.2">
      <c r="A31" s="2" t="s">
        <v>38</v>
      </c>
      <c r="B31" s="2" t="s">
        <v>22</v>
      </c>
      <c r="C31" s="2" t="s">
        <v>23</v>
      </c>
      <c r="D31" s="2" t="s">
        <v>24</v>
      </c>
      <c r="E31" s="2" t="s">
        <v>25</v>
      </c>
      <c r="F31" s="2">
        <v>38456</v>
      </c>
      <c r="G31" s="2">
        <v>1423</v>
      </c>
      <c r="H31" s="2">
        <v>217.5</v>
      </c>
      <c r="I31" s="2">
        <v>29</v>
      </c>
      <c r="J31" s="2">
        <v>5123</v>
      </c>
      <c r="K31" s="2">
        <v>3.6999999999999998E-2</v>
      </c>
      <c r="L31" s="2">
        <v>31234</v>
      </c>
      <c r="M31" s="2">
        <v>1.23</v>
      </c>
    </row>
    <row r="32" spans="1:13" ht="15.75" customHeight="1" x14ac:dyDescent="0.2">
      <c r="A32" s="2" t="s">
        <v>39</v>
      </c>
      <c r="B32" s="2" t="s">
        <v>14</v>
      </c>
      <c r="C32" s="2" t="s">
        <v>15</v>
      </c>
      <c r="D32" s="2" t="s">
        <v>16</v>
      </c>
      <c r="E32" s="2" t="s">
        <v>17</v>
      </c>
      <c r="F32" s="2">
        <v>52123</v>
      </c>
      <c r="G32" s="2">
        <v>1089</v>
      </c>
      <c r="H32" s="2">
        <v>148.6</v>
      </c>
      <c r="I32" s="2">
        <v>17</v>
      </c>
      <c r="J32" s="2">
        <v>9567</v>
      </c>
      <c r="K32" s="2">
        <v>2.0899999999999998E-2</v>
      </c>
      <c r="L32" s="2">
        <v>43234</v>
      </c>
      <c r="M32" s="2">
        <v>1.21</v>
      </c>
    </row>
    <row r="33" spans="1:13" ht="15.75" customHeight="1" x14ac:dyDescent="0.2">
      <c r="A33" s="2" t="s">
        <v>39</v>
      </c>
      <c r="B33" s="2" t="s">
        <v>18</v>
      </c>
      <c r="C33" s="2" t="s">
        <v>19</v>
      </c>
      <c r="D33" s="2" t="s">
        <v>20</v>
      </c>
      <c r="E33" s="2" t="s">
        <v>21</v>
      </c>
      <c r="F33" s="2">
        <v>14567</v>
      </c>
      <c r="G33" s="2">
        <v>723</v>
      </c>
      <c r="H33" s="2">
        <v>256.39999999999998</v>
      </c>
      <c r="I33" s="2">
        <v>44</v>
      </c>
      <c r="J33" s="2">
        <v>1612</v>
      </c>
      <c r="K33" s="2">
        <v>4.9599999999999998E-2</v>
      </c>
      <c r="L33" s="2">
        <v>11456</v>
      </c>
      <c r="M33" s="2">
        <v>1.27</v>
      </c>
    </row>
    <row r="34" spans="1:13" ht="15.75" customHeight="1" x14ac:dyDescent="0.2">
      <c r="A34" s="2" t="s">
        <v>39</v>
      </c>
      <c r="B34" s="2" t="s">
        <v>22</v>
      </c>
      <c r="C34" s="2" t="s">
        <v>23</v>
      </c>
      <c r="D34" s="2" t="s">
        <v>24</v>
      </c>
      <c r="E34" s="2" t="s">
        <v>25</v>
      </c>
      <c r="F34" s="2">
        <v>39789</v>
      </c>
      <c r="G34" s="2">
        <v>1534</v>
      </c>
      <c r="H34" s="2">
        <v>225.8</v>
      </c>
      <c r="I34" s="2">
        <v>31</v>
      </c>
      <c r="J34" s="2">
        <v>5456</v>
      </c>
      <c r="K34" s="2">
        <v>3.8600000000000002E-2</v>
      </c>
      <c r="L34" s="2">
        <v>32567</v>
      </c>
      <c r="M34" s="2">
        <v>1.22</v>
      </c>
    </row>
    <row r="35" spans="1:13" ht="15.75" customHeight="1" x14ac:dyDescent="0.2">
      <c r="A35" s="2" t="s">
        <v>39</v>
      </c>
      <c r="B35" s="2" t="s">
        <v>29</v>
      </c>
      <c r="C35" s="2" t="s">
        <v>30</v>
      </c>
      <c r="D35" s="2" t="s">
        <v>31</v>
      </c>
      <c r="E35" s="2" t="s">
        <v>32</v>
      </c>
      <c r="F35" s="2">
        <v>76234</v>
      </c>
      <c r="G35" s="2">
        <v>278</v>
      </c>
      <c r="H35" s="2">
        <v>101.5</v>
      </c>
      <c r="I35" s="2">
        <v>8</v>
      </c>
      <c r="J35" s="2">
        <v>52345</v>
      </c>
      <c r="K35" s="2">
        <v>3.7000000000000002E-3</v>
      </c>
      <c r="L35" s="2">
        <v>62456</v>
      </c>
      <c r="M35" s="2">
        <v>1.22</v>
      </c>
    </row>
    <row r="36" spans="1:13" ht="15.75" customHeight="1" x14ac:dyDescent="0.2">
      <c r="A36" s="2" t="s">
        <v>40</v>
      </c>
      <c r="B36" s="2" t="s">
        <v>14</v>
      </c>
      <c r="C36" s="2" t="s">
        <v>15</v>
      </c>
      <c r="D36" s="2" t="s">
        <v>16</v>
      </c>
      <c r="E36" s="2" t="s">
        <v>17</v>
      </c>
      <c r="F36" s="2">
        <v>49234</v>
      </c>
      <c r="G36" s="2">
        <v>1012</v>
      </c>
      <c r="H36" s="2">
        <v>140.30000000000001</v>
      </c>
      <c r="I36" s="2">
        <v>15</v>
      </c>
      <c r="J36" s="2">
        <v>9123</v>
      </c>
      <c r="K36" s="2">
        <v>2.06E-2</v>
      </c>
      <c r="L36" s="2">
        <v>41567</v>
      </c>
      <c r="M36" s="2">
        <v>1.18</v>
      </c>
    </row>
    <row r="37" spans="1:13" ht="15.75" customHeight="1" x14ac:dyDescent="0.2">
      <c r="A37" s="2" t="s">
        <v>40</v>
      </c>
      <c r="B37" s="2" t="s">
        <v>18</v>
      </c>
      <c r="C37" s="2" t="s">
        <v>19</v>
      </c>
      <c r="D37" s="2" t="s">
        <v>20</v>
      </c>
      <c r="E37" s="2" t="s">
        <v>21</v>
      </c>
      <c r="F37" s="2">
        <v>13456</v>
      </c>
      <c r="G37" s="2">
        <v>634</v>
      </c>
      <c r="H37" s="2">
        <v>239.7</v>
      </c>
      <c r="I37" s="2">
        <v>39</v>
      </c>
      <c r="J37" s="2">
        <v>1378</v>
      </c>
      <c r="K37" s="2">
        <v>4.7100000000000003E-2</v>
      </c>
      <c r="L37" s="2">
        <v>10567</v>
      </c>
      <c r="M37" s="2">
        <v>1.27</v>
      </c>
    </row>
    <row r="38" spans="1:13" ht="15.75" customHeight="1" x14ac:dyDescent="0.2">
      <c r="A38" s="2" t="s">
        <v>40</v>
      </c>
      <c r="B38" s="2" t="s">
        <v>22</v>
      </c>
      <c r="C38" s="2" t="s">
        <v>23</v>
      </c>
      <c r="D38" s="2" t="s">
        <v>24</v>
      </c>
      <c r="E38" s="2" t="s">
        <v>25</v>
      </c>
      <c r="F38" s="2">
        <v>37890</v>
      </c>
      <c r="G38" s="2">
        <v>1398</v>
      </c>
      <c r="H38" s="2">
        <v>212.4</v>
      </c>
      <c r="I38" s="2">
        <v>28</v>
      </c>
      <c r="J38" s="2">
        <v>5012</v>
      </c>
      <c r="K38" s="2">
        <v>3.6900000000000002E-2</v>
      </c>
      <c r="L38" s="2">
        <v>30890</v>
      </c>
      <c r="M38" s="2">
        <v>1.23</v>
      </c>
    </row>
    <row r="39" spans="1:13" ht="15.75" customHeight="1" x14ac:dyDescent="0.2">
      <c r="A39" s="2" t="s">
        <v>40</v>
      </c>
      <c r="B39" s="2" t="s">
        <v>29</v>
      </c>
      <c r="C39" s="2" t="s">
        <v>30</v>
      </c>
      <c r="D39" s="2" t="s">
        <v>31</v>
      </c>
      <c r="E39" s="2" t="s">
        <v>32</v>
      </c>
      <c r="F39" s="2">
        <v>72890</v>
      </c>
      <c r="G39" s="2">
        <v>261</v>
      </c>
      <c r="H39" s="2">
        <v>96.8</v>
      </c>
      <c r="I39" s="2">
        <v>7</v>
      </c>
      <c r="J39" s="2">
        <v>49567</v>
      </c>
      <c r="K39" s="2">
        <v>3.5999999999999999E-3</v>
      </c>
      <c r="L39" s="2">
        <v>59123</v>
      </c>
      <c r="M39" s="2">
        <v>1.23</v>
      </c>
    </row>
    <row r="40" spans="1:13" ht="15.75" customHeight="1" x14ac:dyDescent="0.2">
      <c r="A40" s="2" t="s">
        <v>41</v>
      </c>
      <c r="B40" s="2" t="s">
        <v>14</v>
      </c>
      <c r="C40" s="2" t="s">
        <v>15</v>
      </c>
      <c r="D40" s="2" t="s">
        <v>16</v>
      </c>
      <c r="E40" s="2" t="s">
        <v>17</v>
      </c>
      <c r="F40" s="2">
        <v>42345</v>
      </c>
      <c r="G40" s="2">
        <v>856</v>
      </c>
      <c r="H40" s="2">
        <v>121.5</v>
      </c>
      <c r="I40" s="2">
        <v>12</v>
      </c>
      <c r="J40" s="2">
        <v>7890</v>
      </c>
      <c r="K40" s="2">
        <v>2.0199999999999999E-2</v>
      </c>
      <c r="L40" s="2">
        <v>35678</v>
      </c>
      <c r="M40" s="2">
        <v>1.19</v>
      </c>
    </row>
    <row r="41" spans="1:13" ht="15.75" customHeight="1" x14ac:dyDescent="0.2">
      <c r="A41" s="2" t="s">
        <v>41</v>
      </c>
      <c r="B41" s="2" t="s">
        <v>18</v>
      </c>
      <c r="C41" s="2" t="s">
        <v>19</v>
      </c>
      <c r="D41" s="2" t="s">
        <v>20</v>
      </c>
      <c r="E41" s="2" t="s">
        <v>21</v>
      </c>
      <c r="F41" s="2">
        <v>11234</v>
      </c>
      <c r="G41" s="2">
        <v>523</v>
      </c>
      <c r="H41" s="2">
        <v>198.6</v>
      </c>
      <c r="I41" s="2">
        <v>32</v>
      </c>
      <c r="J41" s="2">
        <v>1123</v>
      </c>
      <c r="K41" s="2">
        <v>4.6600000000000003E-2</v>
      </c>
      <c r="L41" s="2">
        <v>8901</v>
      </c>
      <c r="M41" s="2">
        <v>1.27</v>
      </c>
    </row>
    <row r="42" spans="1:13" ht="15.75" customHeight="1" x14ac:dyDescent="0.2">
      <c r="A42" s="2" t="s">
        <v>41</v>
      </c>
      <c r="B42" s="2" t="s">
        <v>22</v>
      </c>
      <c r="C42" s="2" t="s">
        <v>23</v>
      </c>
      <c r="D42" s="2" t="s">
        <v>24</v>
      </c>
      <c r="E42" s="2" t="s">
        <v>25</v>
      </c>
      <c r="F42" s="2">
        <v>33456</v>
      </c>
      <c r="G42" s="2">
        <v>1203</v>
      </c>
      <c r="H42" s="2">
        <v>185.3</v>
      </c>
      <c r="I42" s="2">
        <v>23</v>
      </c>
      <c r="J42" s="2">
        <v>4234</v>
      </c>
      <c r="K42" s="2">
        <v>3.5999999999999997E-2</v>
      </c>
      <c r="L42" s="2">
        <v>27890</v>
      </c>
      <c r="M42" s="2">
        <v>1.2</v>
      </c>
    </row>
    <row r="43" spans="1:13" ht="15.75" customHeight="1" x14ac:dyDescent="0.2">
      <c r="A43" s="2" t="s">
        <v>41</v>
      </c>
      <c r="B43" s="2" t="s">
        <v>29</v>
      </c>
      <c r="C43" s="2" t="s">
        <v>30</v>
      </c>
      <c r="D43" s="2" t="s">
        <v>31</v>
      </c>
      <c r="E43" s="2" t="s">
        <v>32</v>
      </c>
      <c r="F43" s="2">
        <v>64567</v>
      </c>
      <c r="G43" s="2">
        <v>238</v>
      </c>
      <c r="H43" s="2">
        <v>83.4</v>
      </c>
      <c r="I43" s="2">
        <v>5</v>
      </c>
      <c r="J43" s="2">
        <v>43234</v>
      </c>
      <c r="K43" s="2">
        <v>3.7000000000000002E-3</v>
      </c>
      <c r="L43" s="2">
        <v>52890</v>
      </c>
      <c r="M43" s="2">
        <v>1.22</v>
      </c>
    </row>
    <row r="44" spans="1:13" ht="15.75" customHeight="1" x14ac:dyDescent="0.2">
      <c r="A44" s="2" t="s">
        <v>42</v>
      </c>
      <c r="B44" s="2" t="s">
        <v>14</v>
      </c>
      <c r="C44" s="2" t="s">
        <v>15</v>
      </c>
      <c r="D44" s="2" t="s">
        <v>16</v>
      </c>
      <c r="E44" s="2" t="s">
        <v>17</v>
      </c>
      <c r="F44" s="2">
        <v>40123</v>
      </c>
      <c r="G44" s="2">
        <v>798</v>
      </c>
      <c r="H44" s="2">
        <v>114.7</v>
      </c>
      <c r="I44" s="2">
        <v>11</v>
      </c>
      <c r="J44" s="2">
        <v>7345</v>
      </c>
      <c r="K44" s="2">
        <v>1.9900000000000001E-2</v>
      </c>
      <c r="L44" s="2">
        <v>33456</v>
      </c>
      <c r="M44" s="2">
        <v>1.2</v>
      </c>
    </row>
    <row r="45" spans="1:13" ht="15.75" customHeight="1" x14ac:dyDescent="0.2">
      <c r="A45" s="2" t="s">
        <v>42</v>
      </c>
      <c r="B45" s="2" t="s">
        <v>18</v>
      </c>
      <c r="C45" s="2" t="s">
        <v>19</v>
      </c>
      <c r="D45" s="2" t="s">
        <v>20</v>
      </c>
      <c r="E45" s="2" t="s">
        <v>21</v>
      </c>
      <c r="F45" s="2">
        <v>10567</v>
      </c>
      <c r="G45" s="2">
        <v>489</v>
      </c>
      <c r="H45" s="2">
        <v>185.9</v>
      </c>
      <c r="I45" s="2">
        <v>29</v>
      </c>
      <c r="J45" s="2">
        <v>998</v>
      </c>
      <c r="K45" s="2">
        <v>4.6300000000000001E-2</v>
      </c>
      <c r="L45" s="2">
        <v>8234</v>
      </c>
      <c r="M45" s="2">
        <v>1.28</v>
      </c>
    </row>
    <row r="46" spans="1:13" ht="15.75" customHeight="1" x14ac:dyDescent="0.2">
      <c r="A46" s="2" t="s">
        <v>42</v>
      </c>
      <c r="B46" s="2" t="s">
        <v>22</v>
      </c>
      <c r="C46" s="2" t="s">
        <v>23</v>
      </c>
      <c r="D46" s="2" t="s">
        <v>24</v>
      </c>
      <c r="E46" s="2" t="s">
        <v>25</v>
      </c>
      <c r="F46" s="2">
        <v>31234</v>
      </c>
      <c r="G46" s="2">
        <v>1123</v>
      </c>
      <c r="H46" s="2">
        <v>173.8</v>
      </c>
      <c r="I46" s="2">
        <v>21</v>
      </c>
      <c r="J46" s="2">
        <v>3890</v>
      </c>
      <c r="K46" s="2">
        <v>3.5999999999999997E-2</v>
      </c>
      <c r="L46" s="2">
        <v>26123</v>
      </c>
      <c r="M46" s="2">
        <v>1.2</v>
      </c>
    </row>
    <row r="47" spans="1:13" ht="15.75" customHeight="1" x14ac:dyDescent="0.2">
      <c r="A47" s="2" t="s">
        <v>42</v>
      </c>
      <c r="B47" s="2" t="s">
        <v>29</v>
      </c>
      <c r="C47" s="2" t="s">
        <v>30</v>
      </c>
      <c r="D47" s="2" t="s">
        <v>31</v>
      </c>
      <c r="E47" s="2" t="s">
        <v>32</v>
      </c>
      <c r="F47" s="2">
        <v>61234</v>
      </c>
      <c r="G47" s="2">
        <v>223</v>
      </c>
      <c r="H47" s="2">
        <v>78.900000000000006</v>
      </c>
      <c r="I47" s="2">
        <v>4</v>
      </c>
      <c r="J47" s="2">
        <v>40567</v>
      </c>
      <c r="K47" s="2">
        <v>3.5999999999999999E-3</v>
      </c>
      <c r="L47" s="2">
        <v>50123</v>
      </c>
      <c r="M47" s="2">
        <v>1.22</v>
      </c>
    </row>
    <row r="48" spans="1:13" ht="15.75" customHeight="1" x14ac:dyDescent="0.2">
      <c r="A48" s="2" t="s">
        <v>43</v>
      </c>
      <c r="B48" s="2" t="s">
        <v>14</v>
      </c>
      <c r="C48" s="2" t="s">
        <v>15</v>
      </c>
      <c r="D48" s="2" t="s">
        <v>16</v>
      </c>
      <c r="E48" s="2" t="s">
        <v>17</v>
      </c>
      <c r="F48" s="2">
        <v>46789</v>
      </c>
      <c r="G48" s="2">
        <v>934</v>
      </c>
      <c r="H48" s="2">
        <v>132.4</v>
      </c>
      <c r="I48" s="2">
        <v>14</v>
      </c>
      <c r="J48" s="2">
        <v>8567</v>
      </c>
      <c r="K48" s="2">
        <v>0.02</v>
      </c>
      <c r="L48" s="2">
        <v>39234</v>
      </c>
      <c r="M48" s="2">
        <v>1.19</v>
      </c>
    </row>
    <row r="49" spans="1:13" ht="15.75" customHeight="1" x14ac:dyDescent="0.2">
      <c r="A49" s="2" t="s">
        <v>43</v>
      </c>
      <c r="B49" s="2" t="s">
        <v>18</v>
      </c>
      <c r="C49" s="2" t="s">
        <v>19</v>
      </c>
      <c r="D49" s="2" t="s">
        <v>20</v>
      </c>
      <c r="E49" s="2" t="s">
        <v>21</v>
      </c>
      <c r="F49" s="2">
        <v>12890</v>
      </c>
      <c r="G49" s="2">
        <v>567</v>
      </c>
      <c r="H49" s="2">
        <v>221.3</v>
      </c>
      <c r="I49" s="2">
        <v>37</v>
      </c>
      <c r="J49" s="2">
        <v>1345</v>
      </c>
      <c r="K49" s="2">
        <v>4.3999999999999997E-2</v>
      </c>
      <c r="L49" s="2">
        <v>10123</v>
      </c>
      <c r="M49" s="2">
        <v>1.27</v>
      </c>
    </row>
    <row r="50" spans="1:13" ht="15.75" customHeight="1" x14ac:dyDescent="0.2">
      <c r="A50" s="2" t="s">
        <v>43</v>
      </c>
      <c r="B50" s="2" t="s">
        <v>22</v>
      </c>
      <c r="C50" s="2" t="s">
        <v>23</v>
      </c>
      <c r="D50" s="2" t="s">
        <v>24</v>
      </c>
      <c r="E50" s="2" t="s">
        <v>25</v>
      </c>
      <c r="F50" s="2">
        <v>35678</v>
      </c>
      <c r="G50" s="2">
        <v>1289</v>
      </c>
      <c r="H50" s="2">
        <v>196.6</v>
      </c>
      <c r="I50" s="2">
        <v>25</v>
      </c>
      <c r="J50" s="2">
        <v>4678</v>
      </c>
      <c r="K50" s="2">
        <v>3.61E-2</v>
      </c>
      <c r="L50" s="2">
        <v>29345</v>
      </c>
      <c r="M50" s="2">
        <v>1.22</v>
      </c>
    </row>
    <row r="51" spans="1:13" ht="15.75" customHeight="1" x14ac:dyDescent="0.2">
      <c r="A51" s="2" t="s">
        <v>43</v>
      </c>
      <c r="B51" s="2" t="s">
        <v>29</v>
      </c>
      <c r="C51" s="2" t="s">
        <v>30</v>
      </c>
      <c r="D51" s="2" t="s">
        <v>31</v>
      </c>
      <c r="E51" s="2" t="s">
        <v>32</v>
      </c>
      <c r="F51" s="2">
        <v>68456</v>
      </c>
      <c r="G51" s="2">
        <v>248</v>
      </c>
      <c r="H51" s="2">
        <v>87.6</v>
      </c>
      <c r="I51" s="2">
        <v>6</v>
      </c>
      <c r="J51" s="2">
        <v>46234</v>
      </c>
      <c r="K51" s="2">
        <v>3.5999999999999999E-3</v>
      </c>
      <c r="L51" s="2">
        <v>56789</v>
      </c>
      <c r="M51" s="2">
        <v>1.21</v>
      </c>
    </row>
    <row r="52" spans="1:13" ht="15.75" customHeight="1" x14ac:dyDescent="0.2">
      <c r="A52" s="2" t="s">
        <v>44</v>
      </c>
      <c r="B52" s="2" t="s">
        <v>14</v>
      </c>
      <c r="C52" s="2" t="s">
        <v>15</v>
      </c>
      <c r="D52" s="2" t="s">
        <v>16</v>
      </c>
      <c r="E52" s="2" t="s">
        <v>17</v>
      </c>
      <c r="F52" s="2">
        <v>50234</v>
      </c>
      <c r="G52" s="2">
        <v>1023</v>
      </c>
      <c r="H52" s="2">
        <v>143.80000000000001</v>
      </c>
      <c r="I52" s="2">
        <v>16</v>
      </c>
      <c r="J52" s="2">
        <v>9234</v>
      </c>
      <c r="K52" s="2">
        <v>2.0400000000000001E-2</v>
      </c>
      <c r="L52" s="2">
        <v>42345</v>
      </c>
      <c r="M52" s="2">
        <v>1.19</v>
      </c>
    </row>
    <row r="53" spans="1:13" ht="15.75" customHeight="1" x14ac:dyDescent="0.2">
      <c r="A53" s="2" t="s">
        <v>44</v>
      </c>
      <c r="B53" s="2" t="s">
        <v>18</v>
      </c>
      <c r="C53" s="2" t="s">
        <v>19</v>
      </c>
      <c r="D53" s="2" t="s">
        <v>20</v>
      </c>
      <c r="E53" s="2" t="s">
        <v>21</v>
      </c>
      <c r="F53" s="2">
        <v>14234</v>
      </c>
      <c r="G53" s="2">
        <v>678</v>
      </c>
      <c r="H53" s="2">
        <v>248.5</v>
      </c>
      <c r="I53" s="2">
        <v>42</v>
      </c>
      <c r="J53" s="2">
        <v>1567</v>
      </c>
      <c r="K53" s="2">
        <v>4.7699999999999999E-2</v>
      </c>
      <c r="L53" s="2">
        <v>11234</v>
      </c>
      <c r="M53" s="2">
        <v>1.27</v>
      </c>
    </row>
    <row r="54" spans="1:13" ht="15.75" customHeight="1" x14ac:dyDescent="0.2">
      <c r="A54" s="2" t="s">
        <v>44</v>
      </c>
      <c r="B54" s="2" t="s">
        <v>22</v>
      </c>
      <c r="C54" s="2" t="s">
        <v>23</v>
      </c>
      <c r="D54" s="2" t="s">
        <v>24</v>
      </c>
      <c r="E54" s="2" t="s">
        <v>25</v>
      </c>
      <c r="F54" s="2">
        <v>38456</v>
      </c>
      <c r="G54" s="2">
        <v>1423</v>
      </c>
      <c r="H54" s="2">
        <v>218.7</v>
      </c>
      <c r="I54" s="2">
        <v>30</v>
      </c>
      <c r="J54" s="2">
        <v>5123</v>
      </c>
      <c r="K54" s="2">
        <v>3.6999999999999998E-2</v>
      </c>
      <c r="L54" s="2">
        <v>31234</v>
      </c>
      <c r="M54" s="2">
        <v>1.23</v>
      </c>
    </row>
    <row r="55" spans="1:13" ht="15.75" customHeight="1" x14ac:dyDescent="0.2">
      <c r="A55" s="2" t="s">
        <v>44</v>
      </c>
      <c r="B55" s="2" t="s">
        <v>29</v>
      </c>
      <c r="C55" s="2" t="s">
        <v>30</v>
      </c>
      <c r="D55" s="2" t="s">
        <v>31</v>
      </c>
      <c r="E55" s="2" t="s">
        <v>32</v>
      </c>
      <c r="F55" s="2">
        <v>73456</v>
      </c>
      <c r="G55" s="2">
        <v>267</v>
      </c>
      <c r="H55" s="2">
        <v>94.2</v>
      </c>
      <c r="I55" s="2">
        <v>7</v>
      </c>
      <c r="J55" s="2">
        <v>49890</v>
      </c>
      <c r="K55" s="2">
        <v>3.5999999999999999E-3</v>
      </c>
      <c r="L55" s="2">
        <v>59567</v>
      </c>
      <c r="M55" s="2">
        <v>1.24</v>
      </c>
    </row>
    <row r="56" spans="1:13" ht="15.75" customHeight="1" x14ac:dyDescent="0.2">
      <c r="A56" s="2" t="s">
        <v>45</v>
      </c>
      <c r="B56" s="2" t="s">
        <v>14</v>
      </c>
      <c r="C56" s="2" t="s">
        <v>15</v>
      </c>
      <c r="D56" s="2" t="s">
        <v>16</v>
      </c>
      <c r="E56" s="2" t="s">
        <v>17</v>
      </c>
      <c r="F56" s="2">
        <v>51789</v>
      </c>
      <c r="G56" s="2">
        <v>1089</v>
      </c>
      <c r="H56" s="2">
        <v>152.30000000000001</v>
      </c>
      <c r="I56" s="2">
        <v>18</v>
      </c>
      <c r="J56" s="2">
        <v>9567</v>
      </c>
      <c r="K56" s="2">
        <v>2.1000000000000001E-2</v>
      </c>
      <c r="L56" s="2">
        <v>43567</v>
      </c>
      <c r="M56" s="2">
        <v>1.19</v>
      </c>
    </row>
    <row r="57" spans="1:13" ht="15.75" customHeight="1" x14ac:dyDescent="0.2">
      <c r="A57" s="2" t="s">
        <v>45</v>
      </c>
      <c r="B57" s="2" t="s">
        <v>18</v>
      </c>
      <c r="C57" s="2" t="s">
        <v>19</v>
      </c>
      <c r="D57" s="2" t="s">
        <v>20</v>
      </c>
      <c r="E57" s="2" t="s">
        <v>21</v>
      </c>
      <c r="F57" s="2">
        <v>15234</v>
      </c>
      <c r="G57" s="2">
        <v>734</v>
      </c>
      <c r="H57" s="2">
        <v>264.7</v>
      </c>
      <c r="I57" s="2">
        <v>46</v>
      </c>
      <c r="J57" s="2">
        <v>1678</v>
      </c>
      <c r="K57" s="2">
        <v>4.82E-2</v>
      </c>
      <c r="L57" s="2">
        <v>12123</v>
      </c>
      <c r="M57" s="2">
        <v>1.26</v>
      </c>
    </row>
    <row r="58" spans="1:13" ht="15.75" customHeight="1" x14ac:dyDescent="0.2">
      <c r="A58" s="2" t="s">
        <v>45</v>
      </c>
      <c r="B58" s="2" t="s">
        <v>22</v>
      </c>
      <c r="C58" s="2" t="s">
        <v>23</v>
      </c>
      <c r="D58" s="2" t="s">
        <v>24</v>
      </c>
      <c r="E58" s="2" t="s">
        <v>25</v>
      </c>
      <c r="F58" s="2">
        <v>40123</v>
      </c>
      <c r="G58" s="2">
        <v>1534</v>
      </c>
      <c r="H58" s="2">
        <v>232.8</v>
      </c>
      <c r="I58" s="2">
        <v>33</v>
      </c>
      <c r="J58" s="2">
        <v>5456</v>
      </c>
      <c r="K58" s="2">
        <v>3.8199999999999998E-2</v>
      </c>
      <c r="L58" s="2">
        <v>32890</v>
      </c>
      <c r="M58" s="2">
        <v>1.22</v>
      </c>
    </row>
    <row r="59" spans="1:13" ht="15.75" customHeight="1" x14ac:dyDescent="0.2">
      <c r="A59" s="2" t="s">
        <v>45</v>
      </c>
      <c r="B59" s="2" t="s">
        <v>29</v>
      </c>
      <c r="C59" s="2" t="s">
        <v>30</v>
      </c>
      <c r="D59" s="2" t="s">
        <v>31</v>
      </c>
      <c r="E59" s="2" t="s">
        <v>32</v>
      </c>
      <c r="F59" s="2">
        <v>75890</v>
      </c>
      <c r="G59" s="2">
        <v>278</v>
      </c>
      <c r="H59" s="2">
        <v>98.5</v>
      </c>
      <c r="I59" s="2">
        <v>8</v>
      </c>
      <c r="J59" s="2">
        <v>51234</v>
      </c>
      <c r="K59" s="2">
        <v>3.7000000000000002E-3</v>
      </c>
      <c r="L59" s="2">
        <v>61567</v>
      </c>
      <c r="M59" s="2">
        <v>1.23</v>
      </c>
    </row>
    <row r="60" spans="1:13" ht="15.75" customHeight="1" x14ac:dyDescent="0.2">
      <c r="A60" s="2" t="s">
        <v>46</v>
      </c>
      <c r="B60" s="2" t="s">
        <v>14</v>
      </c>
      <c r="C60" s="2" t="s">
        <v>15</v>
      </c>
      <c r="D60" s="2" t="s">
        <v>16</v>
      </c>
      <c r="E60" s="2" t="s">
        <v>17</v>
      </c>
      <c r="F60" s="2">
        <v>49567</v>
      </c>
      <c r="G60" s="2">
        <v>1012</v>
      </c>
      <c r="H60" s="2">
        <v>144.6</v>
      </c>
      <c r="I60" s="2">
        <v>16</v>
      </c>
      <c r="J60" s="2">
        <v>9123</v>
      </c>
      <c r="K60" s="2">
        <v>2.0400000000000001E-2</v>
      </c>
      <c r="L60" s="2">
        <v>41890</v>
      </c>
      <c r="M60" s="2">
        <v>1.18</v>
      </c>
    </row>
    <row r="61" spans="1:13" ht="15.75" customHeight="1" x14ac:dyDescent="0.2">
      <c r="A61" s="2" t="s">
        <v>46</v>
      </c>
      <c r="B61" s="2" t="s">
        <v>18</v>
      </c>
      <c r="C61" s="2" t="s">
        <v>19</v>
      </c>
      <c r="D61" s="2" t="s">
        <v>20</v>
      </c>
      <c r="E61" s="2" t="s">
        <v>21</v>
      </c>
      <c r="F61" s="2">
        <v>14567</v>
      </c>
      <c r="G61" s="2">
        <v>689</v>
      </c>
      <c r="H61" s="2">
        <v>253.4</v>
      </c>
      <c r="I61" s="2">
        <v>43</v>
      </c>
      <c r="J61" s="2">
        <v>1489</v>
      </c>
      <c r="K61" s="2">
        <v>4.7300000000000002E-2</v>
      </c>
      <c r="L61" s="2">
        <v>11567</v>
      </c>
      <c r="M61" s="2">
        <v>1.26</v>
      </c>
    </row>
    <row r="62" spans="1:13" ht="15.75" customHeight="1" x14ac:dyDescent="0.2">
      <c r="A62" s="2" t="s">
        <v>46</v>
      </c>
      <c r="B62" s="2" t="s">
        <v>22</v>
      </c>
      <c r="C62" s="2" t="s">
        <v>23</v>
      </c>
      <c r="D62" s="2" t="s">
        <v>24</v>
      </c>
      <c r="E62" s="2" t="s">
        <v>25</v>
      </c>
      <c r="F62" s="2">
        <v>38901</v>
      </c>
      <c r="G62" s="2">
        <v>1456</v>
      </c>
      <c r="H62" s="2">
        <v>224.5</v>
      </c>
      <c r="I62" s="2">
        <v>31</v>
      </c>
      <c r="J62" s="2">
        <v>5234</v>
      </c>
      <c r="K62" s="2">
        <v>3.7400000000000003E-2</v>
      </c>
      <c r="L62" s="2">
        <v>31456</v>
      </c>
      <c r="M62" s="2">
        <v>1.24</v>
      </c>
    </row>
    <row r="63" spans="1:13" ht="15.75" customHeight="1" x14ac:dyDescent="0.2">
      <c r="A63" s="2" t="s">
        <v>46</v>
      </c>
      <c r="B63" s="2" t="s">
        <v>29</v>
      </c>
      <c r="C63" s="2" t="s">
        <v>30</v>
      </c>
      <c r="D63" s="2" t="s">
        <v>31</v>
      </c>
      <c r="E63" s="2" t="s">
        <v>32</v>
      </c>
      <c r="F63" s="2">
        <v>72345</v>
      </c>
      <c r="G63" s="2">
        <v>261</v>
      </c>
      <c r="H63" s="2">
        <v>92.7</v>
      </c>
      <c r="I63" s="2">
        <v>7</v>
      </c>
      <c r="J63" s="2">
        <v>48567</v>
      </c>
      <c r="K63" s="2">
        <v>3.5999999999999999E-3</v>
      </c>
      <c r="L63" s="2">
        <v>58234</v>
      </c>
      <c r="M63" s="2">
        <v>1.24</v>
      </c>
    </row>
    <row r="64" spans="1:13" ht="15.75" customHeight="1" x14ac:dyDescent="0.2">
      <c r="A64" s="2" t="s">
        <v>47</v>
      </c>
      <c r="B64" s="2" t="s">
        <v>14</v>
      </c>
      <c r="C64" s="2" t="s">
        <v>15</v>
      </c>
      <c r="D64" s="2" t="s">
        <v>16</v>
      </c>
      <c r="E64" s="2" t="s">
        <v>17</v>
      </c>
      <c r="F64" s="2">
        <v>47890</v>
      </c>
      <c r="G64" s="2">
        <v>967</v>
      </c>
      <c r="H64" s="2">
        <v>138.4</v>
      </c>
      <c r="I64" s="2">
        <v>15</v>
      </c>
      <c r="J64" s="2">
        <v>8789</v>
      </c>
      <c r="K64" s="2">
        <v>2.0199999999999999E-2</v>
      </c>
      <c r="L64" s="2">
        <v>40234</v>
      </c>
      <c r="M64" s="2">
        <v>1.19</v>
      </c>
    </row>
    <row r="65" spans="1:13" ht="15.75" customHeight="1" x14ac:dyDescent="0.2">
      <c r="A65" s="2" t="s">
        <v>47</v>
      </c>
      <c r="B65" s="2" t="s">
        <v>18</v>
      </c>
      <c r="C65" s="2" t="s">
        <v>19</v>
      </c>
      <c r="D65" s="2" t="s">
        <v>20</v>
      </c>
      <c r="E65" s="2" t="s">
        <v>21</v>
      </c>
      <c r="F65" s="2">
        <v>13890</v>
      </c>
      <c r="G65" s="2">
        <v>634</v>
      </c>
      <c r="H65" s="2">
        <v>235.8</v>
      </c>
      <c r="I65" s="2">
        <v>40</v>
      </c>
      <c r="J65" s="2">
        <v>1378</v>
      </c>
      <c r="K65" s="2">
        <v>4.5699999999999998E-2</v>
      </c>
      <c r="L65" s="2">
        <v>10890</v>
      </c>
      <c r="M65" s="2">
        <v>1.27</v>
      </c>
    </row>
    <row r="66" spans="1:13" ht="15.75" customHeight="1" x14ac:dyDescent="0.2">
      <c r="A66" s="2" t="s">
        <v>47</v>
      </c>
      <c r="B66" s="2" t="s">
        <v>22</v>
      </c>
      <c r="C66" s="2" t="s">
        <v>23</v>
      </c>
      <c r="D66" s="2" t="s">
        <v>24</v>
      </c>
      <c r="E66" s="2" t="s">
        <v>25</v>
      </c>
      <c r="F66" s="2">
        <v>37234</v>
      </c>
      <c r="G66" s="2">
        <v>1367</v>
      </c>
      <c r="H66" s="2">
        <v>209.9</v>
      </c>
      <c r="I66" s="2">
        <v>28</v>
      </c>
      <c r="J66" s="2">
        <v>5012</v>
      </c>
      <c r="K66" s="2">
        <v>3.6700000000000003E-2</v>
      </c>
      <c r="L66" s="2">
        <v>30678</v>
      </c>
      <c r="M66" s="2">
        <v>1.21</v>
      </c>
    </row>
    <row r="67" spans="1:13" ht="15.75" customHeight="1" x14ac:dyDescent="0.2">
      <c r="A67" s="2" t="s">
        <v>47</v>
      </c>
      <c r="B67" s="2" t="s">
        <v>29</v>
      </c>
      <c r="C67" s="2" t="s">
        <v>30</v>
      </c>
      <c r="D67" s="2" t="s">
        <v>31</v>
      </c>
      <c r="E67" s="2" t="s">
        <v>32</v>
      </c>
      <c r="F67" s="2">
        <v>70123</v>
      </c>
      <c r="G67" s="2">
        <v>253</v>
      </c>
      <c r="H67" s="2">
        <v>89.4</v>
      </c>
      <c r="I67" s="2">
        <v>6</v>
      </c>
      <c r="J67" s="2">
        <v>47234</v>
      </c>
      <c r="K67" s="2">
        <v>3.5999999999999999E-3</v>
      </c>
      <c r="L67" s="2">
        <v>57890</v>
      </c>
      <c r="M67" s="2">
        <v>1.21</v>
      </c>
    </row>
    <row r="68" spans="1:13" ht="15.75" customHeight="1" x14ac:dyDescent="0.2">
      <c r="A68" s="2" t="s">
        <v>48</v>
      </c>
      <c r="B68" s="2" t="s">
        <v>14</v>
      </c>
      <c r="C68" s="2" t="s">
        <v>15</v>
      </c>
      <c r="D68" s="2" t="s">
        <v>16</v>
      </c>
      <c r="E68" s="2" t="s">
        <v>17</v>
      </c>
      <c r="F68" s="2">
        <v>43234</v>
      </c>
      <c r="G68" s="2">
        <v>878</v>
      </c>
      <c r="H68" s="2">
        <v>125.7</v>
      </c>
      <c r="I68" s="2">
        <v>13</v>
      </c>
      <c r="J68" s="2">
        <v>7890</v>
      </c>
      <c r="K68" s="2">
        <v>2.0299999999999999E-2</v>
      </c>
      <c r="L68" s="2">
        <v>36567</v>
      </c>
      <c r="M68" s="2">
        <v>1.18</v>
      </c>
    </row>
    <row r="69" spans="1:13" ht="15.75" customHeight="1" x14ac:dyDescent="0.2">
      <c r="A69" s="2" t="s">
        <v>48</v>
      </c>
      <c r="B69" s="2" t="s">
        <v>18</v>
      </c>
      <c r="C69" s="2" t="s">
        <v>19</v>
      </c>
      <c r="D69" s="2" t="s">
        <v>20</v>
      </c>
      <c r="E69" s="2" t="s">
        <v>21</v>
      </c>
      <c r="F69" s="2">
        <v>11890</v>
      </c>
      <c r="G69" s="2">
        <v>545</v>
      </c>
      <c r="H69" s="2">
        <v>202.3</v>
      </c>
      <c r="I69" s="2">
        <v>34</v>
      </c>
      <c r="J69" s="2">
        <v>1156</v>
      </c>
      <c r="K69" s="2">
        <v>4.58E-2</v>
      </c>
      <c r="L69" s="2">
        <v>9567</v>
      </c>
      <c r="M69" s="2">
        <v>1.28</v>
      </c>
    </row>
    <row r="70" spans="1:13" ht="15.75" customHeight="1" x14ac:dyDescent="0.2">
      <c r="A70" s="2" t="s">
        <v>48</v>
      </c>
      <c r="B70" s="2" t="s">
        <v>22</v>
      </c>
      <c r="C70" s="2" t="s">
        <v>23</v>
      </c>
      <c r="D70" s="2" t="s">
        <v>24</v>
      </c>
      <c r="E70" s="2" t="s">
        <v>25</v>
      </c>
      <c r="F70" s="2">
        <v>34567</v>
      </c>
      <c r="G70" s="2">
        <v>1234</v>
      </c>
      <c r="H70" s="2">
        <v>189.6</v>
      </c>
      <c r="I70" s="2">
        <v>24</v>
      </c>
      <c r="J70" s="2">
        <v>4567</v>
      </c>
      <c r="K70" s="2">
        <v>3.5700000000000003E-2</v>
      </c>
      <c r="L70" s="2">
        <v>28934</v>
      </c>
      <c r="M70" s="2">
        <v>1.19</v>
      </c>
    </row>
    <row r="71" spans="1:13" ht="15.75" customHeight="1" x14ac:dyDescent="0.2">
      <c r="A71" s="2" t="s">
        <v>48</v>
      </c>
      <c r="B71" s="2" t="s">
        <v>29</v>
      </c>
      <c r="C71" s="2" t="s">
        <v>30</v>
      </c>
      <c r="D71" s="2" t="s">
        <v>31</v>
      </c>
      <c r="E71" s="2" t="s">
        <v>32</v>
      </c>
      <c r="F71" s="2">
        <v>65234</v>
      </c>
      <c r="G71" s="2">
        <v>234</v>
      </c>
      <c r="H71" s="2">
        <v>81.2</v>
      </c>
      <c r="I71" s="2">
        <v>5</v>
      </c>
      <c r="J71" s="2">
        <v>43567</v>
      </c>
      <c r="K71" s="2">
        <v>3.5999999999999999E-3</v>
      </c>
      <c r="L71" s="2">
        <v>53456</v>
      </c>
      <c r="M71" s="2">
        <v>1.19</v>
      </c>
    </row>
    <row r="72" spans="1:13" ht="15.75" customHeight="1" x14ac:dyDescent="0.2">
      <c r="A72" s="2" t="s">
        <v>49</v>
      </c>
      <c r="B72" s="2" t="s">
        <v>14</v>
      </c>
      <c r="C72" s="2" t="s">
        <v>15</v>
      </c>
      <c r="D72" s="2" t="s">
        <v>16</v>
      </c>
      <c r="E72" s="2" t="s">
        <v>17</v>
      </c>
      <c r="F72" s="2">
        <v>41567</v>
      </c>
      <c r="G72" s="2">
        <v>823</v>
      </c>
      <c r="H72" s="2">
        <v>118.9</v>
      </c>
      <c r="I72" s="2">
        <v>12</v>
      </c>
      <c r="J72" s="2">
        <v>7456</v>
      </c>
      <c r="K72" s="2">
        <v>1.9800000000000002E-2</v>
      </c>
      <c r="L72" s="2">
        <v>35123</v>
      </c>
      <c r="M72" s="2">
        <v>1.18</v>
      </c>
    </row>
    <row r="73" spans="1:13" ht="15.75" customHeight="1" x14ac:dyDescent="0.2">
      <c r="A73" s="2" t="s">
        <v>49</v>
      </c>
      <c r="B73" s="2" t="s">
        <v>18</v>
      </c>
      <c r="C73" s="2" t="s">
        <v>19</v>
      </c>
      <c r="D73" s="2" t="s">
        <v>20</v>
      </c>
      <c r="E73" s="2" t="s">
        <v>21</v>
      </c>
      <c r="F73" s="2">
        <v>10234</v>
      </c>
      <c r="G73" s="2">
        <v>467</v>
      </c>
      <c r="H73" s="2">
        <v>178.4</v>
      </c>
      <c r="I73" s="2">
        <v>30</v>
      </c>
      <c r="J73" s="2">
        <v>945</v>
      </c>
      <c r="K73" s="2">
        <v>4.5600000000000002E-2</v>
      </c>
      <c r="L73" s="2">
        <v>8456</v>
      </c>
      <c r="M73" s="2">
        <v>1.21</v>
      </c>
    </row>
    <row r="74" spans="1:13" ht="15.75" customHeight="1" x14ac:dyDescent="0.2">
      <c r="A74" s="2" t="s">
        <v>49</v>
      </c>
      <c r="B74" s="2" t="s">
        <v>22</v>
      </c>
      <c r="C74" s="2" t="s">
        <v>23</v>
      </c>
      <c r="D74" s="2" t="s">
        <v>24</v>
      </c>
      <c r="E74" s="2" t="s">
        <v>25</v>
      </c>
      <c r="F74" s="2">
        <v>32890</v>
      </c>
      <c r="G74" s="2">
        <v>1178</v>
      </c>
      <c r="H74" s="2">
        <v>171.2</v>
      </c>
      <c r="I74" s="2">
        <v>22</v>
      </c>
      <c r="J74" s="2">
        <v>3789</v>
      </c>
      <c r="K74" s="2">
        <v>3.5799999999999998E-2</v>
      </c>
      <c r="L74" s="2">
        <v>27234</v>
      </c>
      <c r="M74" s="2">
        <v>1.21</v>
      </c>
    </row>
    <row r="75" spans="1:13" ht="15.75" customHeight="1" x14ac:dyDescent="0.2">
      <c r="A75" s="2" t="s">
        <v>49</v>
      </c>
      <c r="B75" s="2" t="s">
        <v>29</v>
      </c>
      <c r="C75" s="2" t="s">
        <v>30</v>
      </c>
      <c r="D75" s="2" t="s">
        <v>31</v>
      </c>
      <c r="E75" s="2" t="s">
        <v>32</v>
      </c>
      <c r="F75" s="2">
        <v>62345</v>
      </c>
      <c r="G75" s="2">
        <v>223</v>
      </c>
      <c r="H75" s="2">
        <v>76.3</v>
      </c>
      <c r="I75" s="2">
        <v>4</v>
      </c>
      <c r="J75" s="2">
        <v>41234</v>
      </c>
      <c r="K75" s="2">
        <v>3.5999999999999999E-3</v>
      </c>
      <c r="L75" s="2">
        <v>51567</v>
      </c>
      <c r="M75" s="2">
        <v>1.2</v>
      </c>
    </row>
    <row r="76" spans="1:13" ht="15.75" customHeight="1" x14ac:dyDescent="0.2">
      <c r="A76" s="2" t="s">
        <v>50</v>
      </c>
      <c r="B76" s="2" t="s">
        <v>14</v>
      </c>
      <c r="C76" s="2" t="s">
        <v>15</v>
      </c>
      <c r="D76" s="2" t="s">
        <v>16</v>
      </c>
      <c r="E76" s="2" t="s">
        <v>17</v>
      </c>
      <c r="F76" s="2">
        <v>45234</v>
      </c>
      <c r="G76" s="2">
        <v>912</v>
      </c>
      <c r="H76" s="2">
        <v>129.80000000000001</v>
      </c>
      <c r="I76" s="2">
        <v>14</v>
      </c>
      <c r="J76" s="2">
        <v>8234</v>
      </c>
      <c r="K76" s="2">
        <v>2.0199999999999999E-2</v>
      </c>
      <c r="L76" s="2">
        <v>38567</v>
      </c>
      <c r="M76" s="2">
        <v>1.17</v>
      </c>
    </row>
    <row r="77" spans="1:13" ht="15.75" customHeight="1" x14ac:dyDescent="0.2">
      <c r="A77" s="2" t="s">
        <v>50</v>
      </c>
      <c r="B77" s="2" t="s">
        <v>18</v>
      </c>
      <c r="C77" s="2" t="s">
        <v>19</v>
      </c>
      <c r="D77" s="2" t="s">
        <v>20</v>
      </c>
      <c r="E77" s="2" t="s">
        <v>21</v>
      </c>
      <c r="F77" s="2">
        <v>12456</v>
      </c>
      <c r="G77" s="2">
        <v>567</v>
      </c>
      <c r="H77" s="2">
        <v>209.6</v>
      </c>
      <c r="I77" s="2">
        <v>36</v>
      </c>
      <c r="J77" s="2">
        <v>1234</v>
      </c>
      <c r="K77" s="2">
        <v>4.5499999999999999E-2</v>
      </c>
      <c r="L77" s="2">
        <v>9876</v>
      </c>
      <c r="M77" s="2">
        <v>1.26</v>
      </c>
    </row>
    <row r="78" spans="1:13" ht="15.75" customHeight="1" x14ac:dyDescent="0.2">
      <c r="A78" s="2" t="s">
        <v>50</v>
      </c>
      <c r="B78" s="2" t="s">
        <v>22</v>
      </c>
      <c r="C78" s="2" t="s">
        <v>23</v>
      </c>
      <c r="D78" s="2" t="s">
        <v>24</v>
      </c>
      <c r="E78" s="2" t="s">
        <v>25</v>
      </c>
      <c r="F78" s="2">
        <v>35123</v>
      </c>
      <c r="G78" s="2">
        <v>1267</v>
      </c>
      <c r="H78" s="2">
        <v>194.5</v>
      </c>
      <c r="I78" s="2">
        <v>26</v>
      </c>
      <c r="J78" s="2">
        <v>4345</v>
      </c>
      <c r="K78" s="2">
        <v>3.61E-2</v>
      </c>
      <c r="L78" s="2">
        <v>29123</v>
      </c>
      <c r="M78" s="2">
        <v>1.21</v>
      </c>
    </row>
    <row r="79" spans="1:13" ht="15.75" customHeight="1" x14ac:dyDescent="0.2">
      <c r="A79" s="2" t="s">
        <v>50</v>
      </c>
      <c r="B79" s="2" t="s">
        <v>29</v>
      </c>
      <c r="C79" s="2" t="s">
        <v>30</v>
      </c>
      <c r="D79" s="2" t="s">
        <v>31</v>
      </c>
      <c r="E79" s="2" t="s">
        <v>32</v>
      </c>
      <c r="F79" s="2">
        <v>66789</v>
      </c>
      <c r="G79" s="2">
        <v>245</v>
      </c>
      <c r="H79" s="2">
        <v>84.7</v>
      </c>
      <c r="I79" s="2">
        <v>5</v>
      </c>
      <c r="J79" s="2">
        <v>44567</v>
      </c>
      <c r="K79" s="2">
        <v>3.7000000000000002E-3</v>
      </c>
      <c r="L79" s="2">
        <v>54890</v>
      </c>
      <c r="M79" s="2">
        <v>1.22</v>
      </c>
    </row>
    <row r="80" spans="1:13" ht="15.75" customHeight="1" x14ac:dyDescent="0.2">
      <c r="A80" s="2" t="s">
        <v>51</v>
      </c>
      <c r="B80" s="2" t="s">
        <v>14</v>
      </c>
      <c r="C80" s="2" t="s">
        <v>15</v>
      </c>
      <c r="D80" s="2" t="s">
        <v>16</v>
      </c>
      <c r="E80" s="2" t="s">
        <v>17</v>
      </c>
      <c r="F80" s="2">
        <v>48567</v>
      </c>
      <c r="G80" s="2">
        <v>989</v>
      </c>
      <c r="H80" s="2">
        <v>140.30000000000001</v>
      </c>
      <c r="I80" s="2">
        <v>15</v>
      </c>
      <c r="J80" s="2">
        <v>8945</v>
      </c>
      <c r="K80" s="2">
        <v>2.0400000000000001E-2</v>
      </c>
      <c r="L80" s="2">
        <v>40456</v>
      </c>
      <c r="M80" s="2">
        <v>1.2</v>
      </c>
    </row>
    <row r="81" spans="1:13" ht="15.75" customHeight="1" x14ac:dyDescent="0.2">
      <c r="A81" s="2" t="s">
        <v>51</v>
      </c>
      <c r="B81" s="2" t="s">
        <v>18</v>
      </c>
      <c r="C81" s="2" t="s">
        <v>19</v>
      </c>
      <c r="D81" s="2" t="s">
        <v>20</v>
      </c>
      <c r="E81" s="2" t="s">
        <v>21</v>
      </c>
      <c r="F81" s="2">
        <v>13789</v>
      </c>
      <c r="G81" s="2">
        <v>623</v>
      </c>
      <c r="H81" s="2">
        <v>229.8</v>
      </c>
      <c r="I81" s="2">
        <v>38</v>
      </c>
      <c r="J81" s="2">
        <v>1489</v>
      </c>
      <c r="K81" s="2">
        <v>4.5199999999999997E-2</v>
      </c>
      <c r="L81" s="2">
        <v>10789</v>
      </c>
      <c r="M81" s="2">
        <v>1.28</v>
      </c>
    </row>
    <row r="82" spans="1:13" ht="15.75" customHeight="1" x14ac:dyDescent="0.2">
      <c r="A82" s="2" t="s">
        <v>51</v>
      </c>
      <c r="B82" s="2" t="s">
        <v>22</v>
      </c>
      <c r="C82" s="2" t="s">
        <v>23</v>
      </c>
      <c r="D82" s="2" t="s">
        <v>24</v>
      </c>
      <c r="E82" s="2" t="s">
        <v>25</v>
      </c>
      <c r="F82" s="2">
        <v>37456</v>
      </c>
      <c r="G82" s="2">
        <v>1389</v>
      </c>
      <c r="H82" s="2">
        <v>213.4</v>
      </c>
      <c r="I82" s="2">
        <v>29</v>
      </c>
      <c r="J82" s="2">
        <v>4890</v>
      </c>
      <c r="K82" s="2">
        <v>3.7100000000000001E-2</v>
      </c>
      <c r="L82" s="2">
        <v>30567</v>
      </c>
      <c r="M82" s="2">
        <v>1.22</v>
      </c>
    </row>
    <row r="83" spans="1:13" ht="15.75" customHeight="1" x14ac:dyDescent="0.2">
      <c r="A83" s="2" t="s">
        <v>51</v>
      </c>
      <c r="B83" s="2" t="s">
        <v>29</v>
      </c>
      <c r="C83" s="2" t="s">
        <v>30</v>
      </c>
      <c r="D83" s="2" t="s">
        <v>31</v>
      </c>
      <c r="E83" s="2" t="s">
        <v>32</v>
      </c>
      <c r="F83" s="2">
        <v>71234</v>
      </c>
      <c r="G83" s="2">
        <v>256</v>
      </c>
      <c r="H83" s="2">
        <v>90.5</v>
      </c>
      <c r="I83" s="2">
        <v>6</v>
      </c>
      <c r="J83" s="2">
        <v>48123</v>
      </c>
      <c r="K83" s="2">
        <v>3.5999999999999999E-3</v>
      </c>
      <c r="L83" s="2">
        <v>58567</v>
      </c>
      <c r="M83" s="2">
        <v>1.22</v>
      </c>
    </row>
    <row r="84" spans="1:13" ht="15.75" customHeight="1" x14ac:dyDescent="0.2">
      <c r="A84" s="2" t="s">
        <v>52</v>
      </c>
      <c r="B84" s="2" t="s">
        <v>14</v>
      </c>
      <c r="C84" s="2" t="s">
        <v>15</v>
      </c>
      <c r="D84" s="2" t="s">
        <v>16</v>
      </c>
      <c r="E84" s="2" t="s">
        <v>17</v>
      </c>
      <c r="F84" s="2">
        <v>51234</v>
      </c>
      <c r="G84" s="2">
        <v>1067</v>
      </c>
      <c r="H84" s="2">
        <v>149.69999999999999</v>
      </c>
      <c r="I84" s="2">
        <v>17</v>
      </c>
      <c r="J84" s="2">
        <v>9234</v>
      </c>
      <c r="K84" s="2">
        <v>2.0799999999999999E-2</v>
      </c>
      <c r="L84" s="2">
        <v>42567</v>
      </c>
      <c r="M84" s="2">
        <v>1.2</v>
      </c>
    </row>
    <row r="85" spans="1:13" ht="15.75" customHeight="1" x14ac:dyDescent="0.2">
      <c r="A85" s="2" t="s">
        <v>52</v>
      </c>
      <c r="B85" s="2" t="s">
        <v>18</v>
      </c>
      <c r="C85" s="2" t="s">
        <v>19</v>
      </c>
      <c r="D85" s="2" t="s">
        <v>20</v>
      </c>
      <c r="E85" s="2" t="s">
        <v>21</v>
      </c>
      <c r="F85" s="2">
        <v>14890</v>
      </c>
      <c r="G85" s="2">
        <v>712</v>
      </c>
      <c r="H85" s="2">
        <v>251.6</v>
      </c>
      <c r="I85" s="2">
        <v>43</v>
      </c>
      <c r="J85" s="2">
        <v>1578</v>
      </c>
      <c r="K85" s="2">
        <v>4.7800000000000002E-2</v>
      </c>
      <c r="L85" s="2">
        <v>11790</v>
      </c>
      <c r="M85" s="2">
        <v>1.26</v>
      </c>
    </row>
    <row r="86" spans="1:13" ht="15.75" customHeight="1" x14ac:dyDescent="0.2">
      <c r="A86" s="2" t="s">
        <v>52</v>
      </c>
      <c r="B86" s="2" t="s">
        <v>22</v>
      </c>
      <c r="C86" s="2" t="s">
        <v>23</v>
      </c>
      <c r="D86" s="2" t="s">
        <v>24</v>
      </c>
      <c r="E86" s="2" t="s">
        <v>25</v>
      </c>
      <c r="F86" s="2">
        <v>39234</v>
      </c>
      <c r="G86" s="2">
        <v>1489</v>
      </c>
      <c r="H86" s="2">
        <v>227.9</v>
      </c>
      <c r="I86" s="2">
        <v>32</v>
      </c>
      <c r="J86" s="2">
        <v>5234</v>
      </c>
      <c r="K86" s="2">
        <v>3.7900000000000003E-2</v>
      </c>
      <c r="L86" s="2">
        <v>32123</v>
      </c>
      <c r="M86" s="2">
        <v>1.22</v>
      </c>
    </row>
    <row r="87" spans="1:13" ht="15.75" customHeight="1" x14ac:dyDescent="0.2">
      <c r="A87" s="2" t="s">
        <v>52</v>
      </c>
      <c r="B87" s="2" t="s">
        <v>29</v>
      </c>
      <c r="C87" s="2" t="s">
        <v>30</v>
      </c>
      <c r="D87" s="2" t="s">
        <v>31</v>
      </c>
      <c r="E87" s="2" t="s">
        <v>32</v>
      </c>
      <c r="F87" s="2">
        <v>74567</v>
      </c>
      <c r="G87" s="2">
        <v>267</v>
      </c>
      <c r="H87" s="2">
        <v>95.8</v>
      </c>
      <c r="I87" s="2">
        <v>7</v>
      </c>
      <c r="J87" s="2">
        <v>50234</v>
      </c>
      <c r="K87" s="2">
        <v>3.5999999999999999E-3</v>
      </c>
      <c r="L87" s="2">
        <v>60789</v>
      </c>
      <c r="M87" s="2">
        <v>1.23</v>
      </c>
    </row>
    <row r="88" spans="1:13" ht="15.75" customHeight="1" x14ac:dyDescent="0.2">
      <c r="A88" s="2" t="s">
        <v>53</v>
      </c>
      <c r="B88" s="2" t="s">
        <v>14</v>
      </c>
      <c r="C88" s="2" t="s">
        <v>15</v>
      </c>
      <c r="D88" s="2" t="s">
        <v>16</v>
      </c>
      <c r="E88" s="2" t="s">
        <v>17</v>
      </c>
      <c r="F88" s="2">
        <v>52789</v>
      </c>
      <c r="G88" s="2">
        <v>1123</v>
      </c>
      <c r="H88" s="2">
        <v>156.4</v>
      </c>
      <c r="I88" s="2">
        <v>18</v>
      </c>
      <c r="J88" s="2">
        <v>9567</v>
      </c>
      <c r="K88" s="2">
        <v>2.1299999999999999E-2</v>
      </c>
      <c r="L88" s="2">
        <v>43890</v>
      </c>
      <c r="M88" s="2">
        <v>1.2</v>
      </c>
    </row>
    <row r="89" spans="1:13" ht="15.75" customHeight="1" x14ac:dyDescent="0.2">
      <c r="A89" s="2" t="s">
        <v>53</v>
      </c>
      <c r="B89" s="2" t="s">
        <v>18</v>
      </c>
      <c r="C89" s="2" t="s">
        <v>19</v>
      </c>
      <c r="D89" s="2" t="s">
        <v>20</v>
      </c>
      <c r="E89" s="2" t="s">
        <v>21</v>
      </c>
      <c r="F89" s="2">
        <v>15678</v>
      </c>
      <c r="G89" s="2">
        <v>756</v>
      </c>
      <c r="H89" s="2">
        <v>268.89999999999998</v>
      </c>
      <c r="I89" s="2">
        <v>47</v>
      </c>
      <c r="J89" s="2">
        <v>1678</v>
      </c>
      <c r="K89" s="2">
        <v>4.82E-2</v>
      </c>
      <c r="L89" s="2">
        <v>12345</v>
      </c>
      <c r="M89" s="2">
        <v>1.27</v>
      </c>
    </row>
    <row r="90" spans="1:13" ht="15.75" customHeight="1" x14ac:dyDescent="0.2">
      <c r="A90" s="2" t="s">
        <v>53</v>
      </c>
      <c r="B90" s="2" t="s">
        <v>22</v>
      </c>
      <c r="C90" s="2" t="s">
        <v>23</v>
      </c>
      <c r="D90" s="2" t="s">
        <v>24</v>
      </c>
      <c r="E90" s="2" t="s">
        <v>25</v>
      </c>
      <c r="F90" s="2">
        <v>40567</v>
      </c>
      <c r="G90" s="2">
        <v>1567</v>
      </c>
      <c r="H90" s="2">
        <v>238.6</v>
      </c>
      <c r="I90" s="2">
        <v>34</v>
      </c>
      <c r="J90" s="2">
        <v>5456</v>
      </c>
      <c r="K90" s="2">
        <v>3.8600000000000002E-2</v>
      </c>
      <c r="L90" s="2">
        <v>33234</v>
      </c>
      <c r="M90" s="2">
        <v>1.22</v>
      </c>
    </row>
    <row r="91" spans="1:13" ht="15.75" customHeight="1" x14ac:dyDescent="0.2">
      <c r="A91" s="2" t="s">
        <v>53</v>
      </c>
      <c r="B91" s="2" t="s">
        <v>29</v>
      </c>
      <c r="C91" s="2" t="s">
        <v>30</v>
      </c>
      <c r="D91" s="2" t="s">
        <v>31</v>
      </c>
      <c r="E91" s="2" t="s">
        <v>32</v>
      </c>
      <c r="F91" s="2">
        <v>76890</v>
      </c>
      <c r="G91" s="2">
        <v>278</v>
      </c>
      <c r="H91" s="2">
        <v>99.2</v>
      </c>
      <c r="I91" s="2">
        <v>8</v>
      </c>
      <c r="J91" s="2">
        <v>51567</v>
      </c>
      <c r="K91" s="2">
        <v>3.5999999999999999E-3</v>
      </c>
      <c r="L91" s="2">
        <v>62890</v>
      </c>
      <c r="M91" s="2">
        <v>1.23</v>
      </c>
    </row>
    <row r="92" spans="1:13" ht="15.75" customHeight="1" x14ac:dyDescent="0.2">
      <c r="A92" s="2" t="s">
        <v>54</v>
      </c>
      <c r="B92" s="2" t="s">
        <v>14</v>
      </c>
      <c r="C92" s="2" t="s">
        <v>15</v>
      </c>
      <c r="D92" s="2" t="s">
        <v>16</v>
      </c>
      <c r="E92" s="2" t="s">
        <v>17</v>
      </c>
      <c r="F92" s="2">
        <v>50123</v>
      </c>
      <c r="G92" s="2">
        <v>1034</v>
      </c>
      <c r="H92" s="2">
        <v>147.5</v>
      </c>
      <c r="I92" s="2">
        <v>17</v>
      </c>
      <c r="J92" s="2">
        <v>9123</v>
      </c>
      <c r="K92" s="2">
        <v>2.06E-2</v>
      </c>
      <c r="L92" s="2">
        <v>41890</v>
      </c>
      <c r="M92" s="2">
        <v>1.2</v>
      </c>
    </row>
    <row r="93" spans="1:13" ht="15.75" customHeight="1" x14ac:dyDescent="0.2">
      <c r="A93" s="2" t="s">
        <v>54</v>
      </c>
      <c r="B93" s="2" t="s">
        <v>18</v>
      </c>
      <c r="C93" s="2" t="s">
        <v>19</v>
      </c>
      <c r="D93" s="2" t="s">
        <v>20</v>
      </c>
      <c r="E93" s="2" t="s">
        <v>21</v>
      </c>
      <c r="F93" s="2">
        <v>14234</v>
      </c>
      <c r="G93" s="2">
        <v>689</v>
      </c>
      <c r="H93" s="2">
        <v>254.7</v>
      </c>
      <c r="I93" s="2">
        <v>44</v>
      </c>
      <c r="J93" s="2">
        <v>1456</v>
      </c>
      <c r="K93" s="2">
        <v>4.8399999999999999E-2</v>
      </c>
      <c r="L93" s="2">
        <v>11234</v>
      </c>
      <c r="M93" s="2">
        <v>1.27</v>
      </c>
    </row>
    <row r="94" spans="1:13" ht="15.75" customHeight="1" x14ac:dyDescent="0.2">
      <c r="A94" s="2" t="s">
        <v>54</v>
      </c>
      <c r="B94" s="2" t="s">
        <v>22</v>
      </c>
      <c r="C94" s="2" t="s">
        <v>23</v>
      </c>
      <c r="D94" s="2" t="s">
        <v>24</v>
      </c>
      <c r="E94" s="2" t="s">
        <v>25</v>
      </c>
      <c r="F94" s="2">
        <v>38890</v>
      </c>
      <c r="G94" s="2">
        <v>1445</v>
      </c>
      <c r="H94" s="2">
        <v>231.2</v>
      </c>
      <c r="I94" s="2">
        <v>32</v>
      </c>
      <c r="J94" s="2">
        <v>5123</v>
      </c>
      <c r="K94" s="2">
        <v>3.7199999999999997E-2</v>
      </c>
      <c r="L94" s="2">
        <v>31567</v>
      </c>
      <c r="M94" s="2">
        <v>1.23</v>
      </c>
    </row>
    <row r="95" spans="1:13" ht="15.75" customHeight="1" x14ac:dyDescent="0.2">
      <c r="A95" s="2" t="s">
        <v>54</v>
      </c>
      <c r="B95" s="2" t="s">
        <v>29</v>
      </c>
      <c r="C95" s="2" t="s">
        <v>30</v>
      </c>
      <c r="D95" s="2" t="s">
        <v>31</v>
      </c>
      <c r="E95" s="2" t="s">
        <v>32</v>
      </c>
      <c r="F95" s="2">
        <v>73456</v>
      </c>
      <c r="G95" s="2">
        <v>261</v>
      </c>
      <c r="H95" s="2">
        <v>94.6</v>
      </c>
      <c r="I95" s="2">
        <v>7</v>
      </c>
      <c r="J95" s="2">
        <v>49234</v>
      </c>
      <c r="K95" s="2">
        <v>3.5999999999999999E-3</v>
      </c>
      <c r="L95" s="2">
        <v>59567</v>
      </c>
      <c r="M95" s="2">
        <v>1.23</v>
      </c>
    </row>
    <row r="96" spans="1:13" ht="15.75" customHeight="1" x14ac:dyDescent="0.2">
      <c r="A96" s="2" t="s">
        <v>55</v>
      </c>
      <c r="B96" s="2" t="s">
        <v>14</v>
      </c>
      <c r="C96" s="2" t="s">
        <v>15</v>
      </c>
      <c r="D96" s="2" t="s">
        <v>16</v>
      </c>
      <c r="E96" s="2" t="s">
        <v>17</v>
      </c>
      <c r="F96" s="2">
        <v>46234</v>
      </c>
      <c r="G96" s="2">
        <v>934</v>
      </c>
      <c r="H96" s="2">
        <v>133.80000000000001</v>
      </c>
      <c r="I96" s="2">
        <v>15</v>
      </c>
      <c r="J96" s="2">
        <v>8456</v>
      </c>
      <c r="K96" s="2">
        <v>2.0199999999999999E-2</v>
      </c>
      <c r="L96" s="2">
        <v>38890</v>
      </c>
      <c r="M96" s="2">
        <v>1.19</v>
      </c>
    </row>
    <row r="97" spans="1:13" ht="15.75" customHeight="1" x14ac:dyDescent="0.2">
      <c r="A97" s="2" t="s">
        <v>55</v>
      </c>
      <c r="B97" s="2" t="s">
        <v>18</v>
      </c>
      <c r="C97" s="2" t="s">
        <v>19</v>
      </c>
      <c r="D97" s="2" t="s">
        <v>20</v>
      </c>
      <c r="E97" s="2" t="s">
        <v>21</v>
      </c>
      <c r="F97" s="2">
        <v>12567</v>
      </c>
      <c r="G97" s="2">
        <v>567</v>
      </c>
      <c r="H97" s="2">
        <v>209.4</v>
      </c>
      <c r="I97" s="2">
        <v>36</v>
      </c>
      <c r="J97" s="2">
        <v>1267</v>
      </c>
      <c r="K97" s="2">
        <v>4.5100000000000001E-2</v>
      </c>
      <c r="L97" s="2">
        <v>9890</v>
      </c>
      <c r="M97" s="2">
        <v>1.27</v>
      </c>
    </row>
    <row r="98" spans="1:13" ht="15.75" customHeight="1" x14ac:dyDescent="0.2">
      <c r="A98" s="2" t="s">
        <v>55</v>
      </c>
      <c r="B98" s="2" t="s">
        <v>22</v>
      </c>
      <c r="C98" s="2" t="s">
        <v>23</v>
      </c>
      <c r="D98" s="2" t="s">
        <v>24</v>
      </c>
      <c r="E98" s="2" t="s">
        <v>25</v>
      </c>
      <c r="F98" s="2">
        <v>35890</v>
      </c>
      <c r="G98" s="2">
        <v>1289</v>
      </c>
      <c r="H98" s="2">
        <v>197.8</v>
      </c>
      <c r="I98" s="2">
        <v>27</v>
      </c>
      <c r="J98" s="2">
        <v>4567</v>
      </c>
      <c r="K98" s="2">
        <v>3.5900000000000001E-2</v>
      </c>
      <c r="L98" s="2">
        <v>29567</v>
      </c>
      <c r="M98" s="2">
        <v>1.21</v>
      </c>
    </row>
    <row r="99" spans="1:13" ht="15.75" customHeight="1" x14ac:dyDescent="0.2">
      <c r="A99" s="2" t="s">
        <v>55</v>
      </c>
      <c r="B99" s="2" t="s">
        <v>29</v>
      </c>
      <c r="C99" s="2" t="s">
        <v>30</v>
      </c>
      <c r="D99" s="2" t="s">
        <v>31</v>
      </c>
      <c r="E99" s="2" t="s">
        <v>32</v>
      </c>
      <c r="F99" s="2">
        <v>68234</v>
      </c>
      <c r="G99" s="2">
        <v>245</v>
      </c>
      <c r="H99" s="2">
        <v>85.9</v>
      </c>
      <c r="I99" s="2">
        <v>5</v>
      </c>
      <c r="J99" s="2">
        <v>45678</v>
      </c>
      <c r="K99" s="2">
        <v>3.5999999999999999E-3</v>
      </c>
      <c r="L99" s="2">
        <v>55890</v>
      </c>
      <c r="M99" s="2">
        <v>1.22</v>
      </c>
    </row>
    <row r="100" spans="1:13" ht="15.75" customHeight="1" x14ac:dyDescent="0.2">
      <c r="A100" s="2" t="s">
        <v>56</v>
      </c>
      <c r="B100" s="2" t="s">
        <v>14</v>
      </c>
      <c r="C100" s="2" t="s">
        <v>15</v>
      </c>
      <c r="D100" s="2" t="s">
        <v>16</v>
      </c>
      <c r="E100" s="2" t="s">
        <v>17</v>
      </c>
      <c r="F100" s="2">
        <v>44567</v>
      </c>
      <c r="G100" s="2">
        <v>890</v>
      </c>
      <c r="H100" s="2">
        <v>127.6</v>
      </c>
      <c r="I100" s="2">
        <v>13</v>
      </c>
      <c r="J100" s="2">
        <v>8123</v>
      </c>
      <c r="K100" s="2">
        <v>0.02</v>
      </c>
      <c r="L100" s="2">
        <v>37456</v>
      </c>
      <c r="M100" s="2">
        <v>1.19</v>
      </c>
    </row>
    <row r="101" spans="1:13" ht="15.75" customHeight="1" x14ac:dyDescent="0.2">
      <c r="A101" s="2" t="s">
        <v>56</v>
      </c>
      <c r="B101" s="2" t="s">
        <v>18</v>
      </c>
      <c r="C101" s="2" t="s">
        <v>19</v>
      </c>
      <c r="D101" s="2" t="s">
        <v>20</v>
      </c>
      <c r="E101" s="2" t="s">
        <v>21</v>
      </c>
      <c r="F101" s="2">
        <v>11456</v>
      </c>
      <c r="G101" s="2">
        <v>523</v>
      </c>
      <c r="H101" s="2">
        <v>192.3</v>
      </c>
      <c r="I101" s="2">
        <v>33</v>
      </c>
      <c r="J101" s="2">
        <v>1089</v>
      </c>
      <c r="K101" s="2">
        <v>4.5699999999999998E-2</v>
      </c>
      <c r="L101" s="2">
        <v>8967</v>
      </c>
      <c r="M101" s="2">
        <v>1.28</v>
      </c>
    </row>
    <row r="102" spans="1:13" ht="15.75" customHeight="1" x14ac:dyDescent="0.2">
      <c r="A102" s="2" t="s">
        <v>56</v>
      </c>
      <c r="B102" s="2" t="s">
        <v>22</v>
      </c>
      <c r="C102" s="2" t="s">
        <v>23</v>
      </c>
      <c r="D102" s="2" t="s">
        <v>24</v>
      </c>
      <c r="E102" s="2" t="s">
        <v>25</v>
      </c>
      <c r="F102" s="2">
        <v>33567</v>
      </c>
      <c r="G102" s="2">
        <v>1203</v>
      </c>
      <c r="H102" s="2">
        <v>184.5</v>
      </c>
      <c r="I102" s="2">
        <v>25</v>
      </c>
      <c r="J102" s="2">
        <v>4123</v>
      </c>
      <c r="K102" s="2">
        <v>3.5799999999999998E-2</v>
      </c>
      <c r="L102" s="2">
        <v>27890</v>
      </c>
      <c r="M102" s="2">
        <v>1.2</v>
      </c>
    </row>
    <row r="103" spans="1:13" ht="15.75" customHeight="1" x14ac:dyDescent="0.2">
      <c r="A103" s="2" t="s">
        <v>56</v>
      </c>
      <c r="B103" s="2" t="s">
        <v>29</v>
      </c>
      <c r="C103" s="2" t="s">
        <v>30</v>
      </c>
      <c r="D103" s="2" t="s">
        <v>31</v>
      </c>
      <c r="E103" s="2" t="s">
        <v>32</v>
      </c>
      <c r="F103" s="2">
        <v>65789</v>
      </c>
      <c r="G103" s="2">
        <v>234</v>
      </c>
      <c r="H103" s="2">
        <v>80.400000000000006</v>
      </c>
      <c r="I103" s="2">
        <v>4</v>
      </c>
      <c r="J103" s="2">
        <v>43890</v>
      </c>
      <c r="K103" s="2">
        <v>3.5999999999999999E-3</v>
      </c>
      <c r="L103" s="2">
        <v>54123</v>
      </c>
      <c r="M103" s="2">
        <v>1.21</v>
      </c>
    </row>
    <row r="104" spans="1:13" ht="15.75" customHeight="1" x14ac:dyDescent="0.2">
      <c r="A104" s="2" t="s">
        <v>57</v>
      </c>
      <c r="B104" s="2" t="s">
        <v>14</v>
      </c>
      <c r="C104" s="2" t="s">
        <v>15</v>
      </c>
      <c r="D104" s="2" t="s">
        <v>16</v>
      </c>
      <c r="E104" s="2" t="s">
        <v>17</v>
      </c>
      <c r="F104" s="2">
        <v>47890</v>
      </c>
      <c r="G104" s="2">
        <v>967</v>
      </c>
      <c r="H104" s="2">
        <v>138.4</v>
      </c>
      <c r="I104" s="2">
        <v>15</v>
      </c>
      <c r="J104" s="2">
        <v>8789</v>
      </c>
      <c r="K104" s="2">
        <v>2.0199999999999999E-2</v>
      </c>
      <c r="L104" s="2">
        <v>40234</v>
      </c>
      <c r="M104" s="2">
        <v>1.19</v>
      </c>
    </row>
    <row r="105" spans="1:13" ht="15.75" customHeight="1" x14ac:dyDescent="0.2">
      <c r="A105" s="2" t="s">
        <v>57</v>
      </c>
      <c r="B105" s="2" t="s">
        <v>18</v>
      </c>
      <c r="C105" s="2" t="s">
        <v>19</v>
      </c>
      <c r="D105" s="2" t="s">
        <v>20</v>
      </c>
      <c r="E105" s="2" t="s">
        <v>21</v>
      </c>
      <c r="F105" s="2">
        <v>13234</v>
      </c>
      <c r="G105" s="2">
        <v>612</v>
      </c>
      <c r="H105" s="2">
        <v>226.5</v>
      </c>
      <c r="I105" s="2">
        <v>39</v>
      </c>
      <c r="J105" s="2">
        <v>1345</v>
      </c>
      <c r="K105" s="2">
        <v>4.6300000000000001E-2</v>
      </c>
      <c r="L105" s="2">
        <v>10456</v>
      </c>
      <c r="M105" s="2">
        <v>1.27</v>
      </c>
    </row>
    <row r="106" spans="1:13" ht="15.75" customHeight="1" x14ac:dyDescent="0.2">
      <c r="A106" s="2" t="s">
        <v>57</v>
      </c>
      <c r="B106" s="2" t="s">
        <v>22</v>
      </c>
      <c r="C106" s="2" t="s">
        <v>23</v>
      </c>
      <c r="D106" s="2" t="s">
        <v>24</v>
      </c>
      <c r="E106" s="2" t="s">
        <v>25</v>
      </c>
      <c r="F106" s="2">
        <v>36234</v>
      </c>
      <c r="G106" s="2">
        <v>1334</v>
      </c>
      <c r="H106" s="2">
        <v>203.7</v>
      </c>
      <c r="I106" s="2">
        <v>28</v>
      </c>
      <c r="J106" s="2">
        <v>4678</v>
      </c>
      <c r="K106" s="2">
        <v>3.6799999999999999E-2</v>
      </c>
      <c r="L106" s="2">
        <v>30123</v>
      </c>
      <c r="M106" s="2">
        <v>1.2</v>
      </c>
    </row>
    <row r="107" spans="1:13" ht="15.75" customHeight="1" x14ac:dyDescent="0.2">
      <c r="A107" s="2" t="s">
        <v>57</v>
      </c>
      <c r="B107" s="2" t="s">
        <v>29</v>
      </c>
      <c r="C107" s="2" t="s">
        <v>30</v>
      </c>
      <c r="D107" s="2" t="s">
        <v>31</v>
      </c>
      <c r="E107" s="2" t="s">
        <v>32</v>
      </c>
      <c r="F107" s="2">
        <v>69567</v>
      </c>
      <c r="G107" s="2">
        <v>253</v>
      </c>
      <c r="H107" s="2">
        <v>88.7</v>
      </c>
      <c r="I107" s="2">
        <v>6</v>
      </c>
      <c r="J107" s="2">
        <v>46890</v>
      </c>
      <c r="K107" s="2">
        <v>3.5999999999999999E-3</v>
      </c>
      <c r="L107" s="2">
        <v>57123</v>
      </c>
      <c r="M107" s="2">
        <v>1.22</v>
      </c>
    </row>
    <row r="108" spans="1:13" ht="15.75" customHeight="1" x14ac:dyDescent="0.2">
      <c r="A108" s="2" t="s">
        <v>58</v>
      </c>
      <c r="B108" s="2" t="s">
        <v>14</v>
      </c>
      <c r="C108" s="2" t="s">
        <v>15</v>
      </c>
      <c r="D108" s="2" t="s">
        <v>16</v>
      </c>
      <c r="E108" s="2" t="s">
        <v>17</v>
      </c>
      <c r="F108" s="2">
        <v>49234</v>
      </c>
      <c r="G108" s="2">
        <v>1001</v>
      </c>
      <c r="H108" s="2">
        <v>142.80000000000001</v>
      </c>
      <c r="I108" s="2">
        <v>16</v>
      </c>
      <c r="J108" s="2">
        <v>9012</v>
      </c>
      <c r="K108" s="2">
        <v>2.0299999999999999E-2</v>
      </c>
      <c r="L108" s="2">
        <v>41567</v>
      </c>
      <c r="M108" s="2">
        <v>1.18</v>
      </c>
    </row>
    <row r="109" spans="1:13" ht="15.75" customHeight="1" x14ac:dyDescent="0.2">
      <c r="A109" s="2" t="s">
        <v>58</v>
      </c>
      <c r="B109" s="2" t="s">
        <v>18</v>
      </c>
      <c r="C109" s="2" t="s">
        <v>19</v>
      </c>
      <c r="D109" s="2" t="s">
        <v>20</v>
      </c>
      <c r="E109" s="2" t="s">
        <v>21</v>
      </c>
      <c r="F109" s="2">
        <v>14123</v>
      </c>
      <c r="G109" s="2">
        <v>645</v>
      </c>
      <c r="H109" s="2">
        <v>236.9</v>
      </c>
      <c r="I109" s="2">
        <v>41</v>
      </c>
      <c r="J109" s="2">
        <v>1423</v>
      </c>
      <c r="K109" s="2">
        <v>4.5699999999999998E-2</v>
      </c>
      <c r="L109" s="2">
        <v>11123</v>
      </c>
      <c r="M109" s="2">
        <v>1.27</v>
      </c>
    </row>
    <row r="110" spans="1:13" ht="15.75" customHeight="1" x14ac:dyDescent="0.2">
      <c r="A110" s="2" t="s">
        <v>58</v>
      </c>
      <c r="B110" s="2" t="s">
        <v>22</v>
      </c>
      <c r="C110" s="2" t="s">
        <v>23</v>
      </c>
      <c r="D110" s="2" t="s">
        <v>24</v>
      </c>
      <c r="E110" s="2" t="s">
        <v>25</v>
      </c>
      <c r="F110" s="2">
        <v>37890</v>
      </c>
      <c r="G110" s="2">
        <v>1412</v>
      </c>
      <c r="H110" s="2">
        <v>216.5</v>
      </c>
      <c r="I110" s="2">
        <v>30</v>
      </c>
      <c r="J110" s="2">
        <v>4956</v>
      </c>
      <c r="K110" s="2">
        <v>3.73E-2</v>
      </c>
      <c r="L110" s="2">
        <v>30890</v>
      </c>
      <c r="M110" s="2">
        <v>1.23</v>
      </c>
    </row>
    <row r="111" spans="1:13" ht="15.75" customHeight="1" x14ac:dyDescent="0.2">
      <c r="A111" s="2" t="s">
        <v>58</v>
      </c>
      <c r="B111" s="2" t="s">
        <v>29</v>
      </c>
      <c r="C111" s="2" t="s">
        <v>30</v>
      </c>
      <c r="D111" s="2" t="s">
        <v>31</v>
      </c>
      <c r="E111" s="2" t="s">
        <v>32</v>
      </c>
      <c r="F111" s="2">
        <v>72123</v>
      </c>
      <c r="G111" s="2">
        <v>261</v>
      </c>
      <c r="H111" s="2">
        <v>91.3</v>
      </c>
      <c r="I111" s="2">
        <v>7</v>
      </c>
      <c r="J111" s="2">
        <v>48567</v>
      </c>
      <c r="K111" s="2">
        <v>3.5999999999999999E-3</v>
      </c>
      <c r="L111" s="2">
        <v>58890</v>
      </c>
      <c r="M111" s="2">
        <v>1.22</v>
      </c>
    </row>
    <row r="112" spans="1:13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5">
    <dataValidation type="list" allowBlank="1" showDropDown="1" showErrorMessage="1" sqref="A2:A111" xr:uid="{00000000-0002-0000-0000-000000000000}">
      <formula1>"2024-01-01,2024-01-02,2024-01-03,2024-01-04,2024-01-05,2024-01-06,2024-01-07,2024-01-08,2024-01-09,2024-01-10,2024-01-11,2024-01-12,2024-01-13,2024-01-14,2024-01-15,2024-01-16,2024-01-17,2024-01-18,2024-01-19,2024-01-20,2024-01-21,2024-01-22,2024-01-23,20"&amp;"24-01-24,2024-01-25,2024-01-26,2024-01-27,2024-01-28,2024-01-29,2024-01-30"</formula1>
    </dataValidation>
    <dataValidation type="list" allowBlank="1" showDropDown="1" showErrorMessage="1" sqref="D2:D111" xr:uid="{00000000-0002-0000-0000-000001000000}">
      <formula1>"fbset_2001,fbset_2002,fbset_2003,fbset_2004"</formula1>
    </dataValidation>
    <dataValidation type="custom" allowBlank="1" showDropDown="1" sqref="F2:M111" xr:uid="{00000000-0002-0000-0000-000002000000}">
      <formula1>AND(ISNUMBER(F2),(NOT(OR(NOT(ISERROR(DATEVALUE(F2))), AND(ISNUMBER(F2), LEFT(CELL("format", F2))="D")))))</formula1>
    </dataValidation>
    <dataValidation type="list" allowBlank="1" showDropDown="1" showErrorMessage="1" sqref="E2:E111" xr:uid="{00000000-0002-0000-0000-000003000000}">
      <formula1>"Broad_Audience_18-35,Cart_Abandoners,Lookalike_Purchasers,Video_Enthusiasts"</formula1>
    </dataValidation>
    <dataValidation type="list" allowBlank="1" showDropDown="1" showErrorMessage="1" sqref="B2:B111" xr:uid="{00000000-0002-0000-0000-000004000000}">
      <formula1>"fb_1001,fb_1002,fb_1003,fb_1004"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7.5" customWidth="1"/>
    <col min="2" max="2" width="21.83203125" customWidth="1"/>
    <col min="3" max="3" width="24" customWidth="1"/>
    <col min="4" max="4" width="21.33203125" customWidth="1"/>
    <col min="5" max="5" width="24.83203125" customWidth="1"/>
    <col min="6" max="6" width="21.5" customWidth="1"/>
    <col min="7" max="7" width="15.33203125" customWidth="1"/>
    <col min="8" max="8" width="14" customWidth="1"/>
    <col min="9" max="9" width="21.33203125" customWidth="1"/>
    <col min="10" max="10" width="26" customWidth="1"/>
    <col min="11" max="11" width="12.5" customWidth="1"/>
    <col min="12" max="12" width="17.5" customWidth="1"/>
    <col min="13" max="13" width="22.33203125" customWidth="1"/>
    <col min="14" max="14" width="33.6640625" customWidth="1"/>
    <col min="15" max="26" width="8.6640625" customWidth="1"/>
  </cols>
  <sheetData>
    <row r="1" spans="1:14" ht="22.5" customHeight="1" x14ac:dyDescent="0.2">
      <c r="A1" s="1" t="s">
        <v>59</v>
      </c>
      <c r="B1" s="1" t="s">
        <v>1</v>
      </c>
      <c r="C1" s="1" t="s">
        <v>2</v>
      </c>
      <c r="D1" s="1" t="s">
        <v>60</v>
      </c>
      <c r="E1" s="1" t="s">
        <v>61</v>
      </c>
      <c r="F1" s="1" t="s">
        <v>5</v>
      </c>
      <c r="G1" s="1" t="s">
        <v>6</v>
      </c>
      <c r="H1" s="1" t="s">
        <v>62</v>
      </c>
      <c r="I1" s="1" t="s">
        <v>8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67</v>
      </c>
    </row>
    <row r="2" spans="1:14" ht="22.5" customHeight="1" x14ac:dyDescent="0.2">
      <c r="A2" s="2" t="s">
        <v>13</v>
      </c>
      <c r="B2" s="2" t="s">
        <v>68</v>
      </c>
      <c r="C2" s="2" t="s">
        <v>69</v>
      </c>
      <c r="D2" s="2" t="s">
        <v>70</v>
      </c>
      <c r="E2" s="2" t="s">
        <v>71</v>
      </c>
      <c r="F2" s="2">
        <v>23456</v>
      </c>
      <c r="G2" s="2">
        <v>1234</v>
      </c>
      <c r="H2" s="2">
        <v>234.5</v>
      </c>
      <c r="I2" s="2">
        <v>45</v>
      </c>
      <c r="J2" s="2">
        <v>2250</v>
      </c>
      <c r="K2" s="2">
        <v>5.2600000000000001E-2</v>
      </c>
      <c r="L2" s="2">
        <v>0.19</v>
      </c>
      <c r="M2" s="2">
        <v>9</v>
      </c>
      <c r="N2" s="2">
        <v>0.92</v>
      </c>
    </row>
    <row r="3" spans="1:14" ht="22.5" customHeight="1" x14ac:dyDescent="0.2">
      <c r="A3" s="2" t="s">
        <v>13</v>
      </c>
      <c r="B3" s="2" t="s">
        <v>72</v>
      </c>
      <c r="C3" s="2" t="s">
        <v>73</v>
      </c>
      <c r="D3" s="2" t="s">
        <v>74</v>
      </c>
      <c r="E3" s="2" t="s">
        <v>75</v>
      </c>
      <c r="F3" s="2">
        <v>45678</v>
      </c>
      <c r="G3" s="2">
        <v>890</v>
      </c>
      <c r="H3" s="2">
        <v>567.79999999999995</v>
      </c>
      <c r="I3" s="2">
        <v>23</v>
      </c>
      <c r="J3" s="2">
        <v>1150</v>
      </c>
      <c r="K3" s="2">
        <v>1.95E-2</v>
      </c>
      <c r="L3" s="2">
        <v>0.64</v>
      </c>
      <c r="M3" s="2">
        <v>7</v>
      </c>
      <c r="N3" s="2">
        <v>0.45</v>
      </c>
    </row>
    <row r="4" spans="1:14" ht="22.5" customHeight="1" x14ac:dyDescent="0.2">
      <c r="A4" s="2" t="s">
        <v>13</v>
      </c>
      <c r="B4" s="2" t="s">
        <v>76</v>
      </c>
      <c r="C4" s="2" t="s">
        <v>77</v>
      </c>
      <c r="D4" s="2" t="s">
        <v>78</v>
      </c>
      <c r="E4" s="2" t="s">
        <v>79</v>
      </c>
      <c r="F4" s="2">
        <v>67890</v>
      </c>
      <c r="G4" s="2">
        <v>2345</v>
      </c>
      <c r="H4" s="2">
        <v>423.6</v>
      </c>
      <c r="I4" s="2">
        <v>67</v>
      </c>
      <c r="J4" s="2">
        <v>3350</v>
      </c>
      <c r="K4" s="2">
        <v>3.4500000000000003E-2</v>
      </c>
      <c r="L4" s="2">
        <v>0.18</v>
      </c>
      <c r="M4" s="2">
        <v>8</v>
      </c>
      <c r="N4" s="2">
        <v>0.67</v>
      </c>
    </row>
    <row r="5" spans="1:14" ht="22.5" customHeight="1" x14ac:dyDescent="0.2">
      <c r="A5" s="2" t="s">
        <v>26</v>
      </c>
      <c r="B5" s="2" t="s">
        <v>68</v>
      </c>
      <c r="C5" s="2" t="s">
        <v>69</v>
      </c>
      <c r="D5" s="2" t="s">
        <v>70</v>
      </c>
      <c r="E5" s="2" t="s">
        <v>71</v>
      </c>
      <c r="F5" s="2">
        <v>24567</v>
      </c>
      <c r="G5" s="2">
        <v>1289</v>
      </c>
      <c r="H5" s="2">
        <v>245.6</v>
      </c>
      <c r="I5" s="2">
        <v>48</v>
      </c>
      <c r="J5" s="2">
        <v>2400</v>
      </c>
      <c r="K5" s="2">
        <v>5.2499999999999998E-2</v>
      </c>
      <c r="L5" s="2">
        <v>0.19</v>
      </c>
      <c r="M5" s="2">
        <v>9</v>
      </c>
      <c r="N5" s="2">
        <v>0.91</v>
      </c>
    </row>
    <row r="6" spans="1:14" ht="22.5" customHeight="1" x14ac:dyDescent="0.2">
      <c r="A6" s="2" t="s">
        <v>26</v>
      </c>
      <c r="B6" s="2" t="s">
        <v>72</v>
      </c>
      <c r="C6" s="2" t="s">
        <v>73</v>
      </c>
      <c r="D6" s="2" t="s">
        <v>74</v>
      </c>
      <c r="E6" s="2" t="s">
        <v>75</v>
      </c>
      <c r="F6" s="2">
        <v>43234</v>
      </c>
      <c r="G6" s="2">
        <v>823</v>
      </c>
      <c r="H6" s="2">
        <v>534.20000000000005</v>
      </c>
      <c r="I6" s="2">
        <v>21</v>
      </c>
      <c r="J6" s="2">
        <v>1050</v>
      </c>
      <c r="K6" s="2">
        <v>1.9E-2</v>
      </c>
      <c r="L6" s="2">
        <v>0.65</v>
      </c>
      <c r="M6" s="2">
        <v>7</v>
      </c>
      <c r="N6" s="2">
        <v>0.44</v>
      </c>
    </row>
    <row r="7" spans="1:14" ht="22.5" customHeight="1" x14ac:dyDescent="0.2">
      <c r="A7" s="2" t="s">
        <v>26</v>
      </c>
      <c r="B7" s="2" t="s">
        <v>76</v>
      </c>
      <c r="C7" s="2" t="s">
        <v>77</v>
      </c>
      <c r="D7" s="2" t="s">
        <v>78</v>
      </c>
      <c r="E7" s="2" t="s">
        <v>79</v>
      </c>
      <c r="F7" s="2">
        <v>71234</v>
      </c>
      <c r="G7" s="2">
        <v>2456</v>
      </c>
      <c r="H7" s="2">
        <v>445.8</v>
      </c>
      <c r="I7" s="2">
        <v>71</v>
      </c>
      <c r="J7" s="2">
        <v>3550</v>
      </c>
      <c r="K7" s="2">
        <v>3.4500000000000003E-2</v>
      </c>
      <c r="L7" s="2">
        <v>0.18</v>
      </c>
      <c r="M7" s="2">
        <v>8</v>
      </c>
      <c r="N7" s="2">
        <v>0.68</v>
      </c>
    </row>
    <row r="8" spans="1:14" ht="22.5" customHeight="1" x14ac:dyDescent="0.2">
      <c r="A8" s="2" t="s">
        <v>27</v>
      </c>
      <c r="B8" s="2" t="s">
        <v>68</v>
      </c>
      <c r="C8" s="2" t="s">
        <v>69</v>
      </c>
      <c r="D8" s="2" t="s">
        <v>70</v>
      </c>
      <c r="E8" s="2" t="s">
        <v>71</v>
      </c>
      <c r="F8" s="2">
        <v>22345</v>
      </c>
      <c r="G8" s="2">
        <v>1123</v>
      </c>
      <c r="H8" s="2">
        <v>213.4</v>
      </c>
      <c r="I8" s="2">
        <v>42</v>
      </c>
      <c r="J8" s="2">
        <v>2100</v>
      </c>
      <c r="K8" s="2">
        <v>5.0299999999999997E-2</v>
      </c>
      <c r="L8" s="2">
        <v>0.19</v>
      </c>
      <c r="M8" s="2">
        <v>9</v>
      </c>
      <c r="N8" s="2">
        <v>0.93</v>
      </c>
    </row>
    <row r="9" spans="1:14" ht="22.5" customHeight="1" x14ac:dyDescent="0.2">
      <c r="A9" s="2" t="s">
        <v>27</v>
      </c>
      <c r="B9" s="2" t="s">
        <v>72</v>
      </c>
      <c r="C9" s="2" t="s">
        <v>73</v>
      </c>
      <c r="D9" s="2" t="s">
        <v>74</v>
      </c>
      <c r="E9" s="2" t="s">
        <v>75</v>
      </c>
      <c r="F9" s="2">
        <v>47890</v>
      </c>
      <c r="G9" s="2">
        <v>967</v>
      </c>
      <c r="H9" s="2">
        <v>623.5</v>
      </c>
      <c r="I9" s="2">
        <v>25</v>
      </c>
      <c r="J9" s="2">
        <v>1250</v>
      </c>
      <c r="K9" s="2">
        <v>2.0199999999999999E-2</v>
      </c>
      <c r="L9" s="2">
        <v>0.64</v>
      </c>
      <c r="M9" s="2">
        <v>6</v>
      </c>
      <c r="N9" s="2">
        <v>0.43</v>
      </c>
    </row>
    <row r="10" spans="1:14" ht="22.5" customHeight="1" x14ac:dyDescent="0.2">
      <c r="A10" s="2" t="s">
        <v>27</v>
      </c>
      <c r="B10" s="2" t="s">
        <v>80</v>
      </c>
      <c r="C10" s="2" t="s">
        <v>81</v>
      </c>
      <c r="D10" s="2" t="s">
        <v>82</v>
      </c>
      <c r="E10" s="2" t="s">
        <v>21</v>
      </c>
      <c r="F10" s="2">
        <v>123456</v>
      </c>
      <c r="G10" s="2">
        <v>456</v>
      </c>
      <c r="H10" s="2">
        <v>123.4</v>
      </c>
      <c r="I10" s="2">
        <v>12</v>
      </c>
      <c r="J10" s="2">
        <v>600</v>
      </c>
      <c r="K10" s="2">
        <v>3.7000000000000002E-3</v>
      </c>
      <c r="L10" s="2">
        <v>0.27</v>
      </c>
      <c r="M10" s="2">
        <v>7</v>
      </c>
      <c r="N10" s="2">
        <v>0.35</v>
      </c>
    </row>
    <row r="11" spans="1:14" ht="22.5" customHeight="1" x14ac:dyDescent="0.2">
      <c r="A11" s="2" t="s">
        <v>28</v>
      </c>
      <c r="B11" s="2" t="s">
        <v>68</v>
      </c>
      <c r="C11" s="2" t="s">
        <v>69</v>
      </c>
      <c r="D11" s="2" t="s">
        <v>70</v>
      </c>
      <c r="E11" s="2" t="s">
        <v>71</v>
      </c>
      <c r="F11" s="2">
        <v>25678</v>
      </c>
      <c r="G11" s="2">
        <v>1345</v>
      </c>
      <c r="H11" s="2">
        <v>256.7</v>
      </c>
      <c r="I11" s="2">
        <v>50</v>
      </c>
      <c r="J11" s="2">
        <v>2500</v>
      </c>
      <c r="K11" s="2">
        <v>5.2400000000000002E-2</v>
      </c>
      <c r="L11" s="2">
        <v>0.19</v>
      </c>
      <c r="M11" s="2">
        <v>9</v>
      </c>
      <c r="N11" s="2">
        <v>0.92</v>
      </c>
    </row>
    <row r="12" spans="1:14" ht="22.5" customHeight="1" x14ac:dyDescent="0.2">
      <c r="A12" s="2" t="s">
        <v>28</v>
      </c>
      <c r="B12" s="2" t="s">
        <v>76</v>
      </c>
      <c r="C12" s="2" t="s">
        <v>77</v>
      </c>
      <c r="D12" s="2" t="s">
        <v>78</v>
      </c>
      <c r="E12" s="2" t="s">
        <v>79</v>
      </c>
      <c r="F12" s="2">
        <v>69456</v>
      </c>
      <c r="G12" s="2">
        <v>2234</v>
      </c>
      <c r="H12" s="2">
        <v>412.3</v>
      </c>
      <c r="I12" s="2">
        <v>65</v>
      </c>
      <c r="J12" s="2">
        <v>3250</v>
      </c>
      <c r="K12" s="2">
        <v>3.2199999999999999E-2</v>
      </c>
      <c r="L12" s="2">
        <v>0.18</v>
      </c>
      <c r="M12" s="2">
        <v>8</v>
      </c>
      <c r="N12" s="2">
        <v>0.66</v>
      </c>
    </row>
    <row r="13" spans="1:14" ht="22.5" customHeight="1" x14ac:dyDescent="0.2">
      <c r="A13" s="2" t="s">
        <v>28</v>
      </c>
      <c r="B13" s="2" t="s">
        <v>80</v>
      </c>
      <c r="C13" s="2" t="s">
        <v>81</v>
      </c>
      <c r="D13" s="2" t="s">
        <v>82</v>
      </c>
      <c r="E13" s="2" t="s">
        <v>21</v>
      </c>
      <c r="F13" s="2">
        <v>134567</v>
      </c>
      <c r="G13" s="2">
        <v>489</v>
      </c>
      <c r="H13" s="2">
        <v>134.5</v>
      </c>
      <c r="I13" s="2">
        <v>14</v>
      </c>
      <c r="J13" s="2">
        <v>700</v>
      </c>
      <c r="K13" s="2">
        <v>3.5999999999999999E-3</v>
      </c>
      <c r="L13" s="2">
        <v>0.28000000000000003</v>
      </c>
      <c r="M13" s="2">
        <v>7</v>
      </c>
      <c r="N13" s="2">
        <v>0.36</v>
      </c>
    </row>
    <row r="14" spans="1:14" ht="22.5" customHeight="1" x14ac:dyDescent="0.2">
      <c r="A14" s="2" t="s">
        <v>33</v>
      </c>
      <c r="B14" s="2" t="s">
        <v>68</v>
      </c>
      <c r="C14" s="2" t="s">
        <v>69</v>
      </c>
      <c r="D14" s="2" t="s">
        <v>70</v>
      </c>
      <c r="E14" s="2" t="s">
        <v>71</v>
      </c>
      <c r="F14" s="2">
        <v>23890</v>
      </c>
      <c r="G14" s="2">
        <v>1234</v>
      </c>
      <c r="H14" s="2">
        <v>234.9</v>
      </c>
      <c r="I14" s="2">
        <v>46</v>
      </c>
      <c r="J14" s="2">
        <v>2300</v>
      </c>
      <c r="K14" s="2">
        <v>5.1700000000000003E-2</v>
      </c>
      <c r="L14" s="2">
        <v>0.19</v>
      </c>
      <c r="M14" s="2">
        <v>9</v>
      </c>
      <c r="N14" s="2">
        <v>0.91</v>
      </c>
    </row>
    <row r="15" spans="1:14" ht="22.5" customHeight="1" x14ac:dyDescent="0.2">
      <c r="A15" s="2" t="s">
        <v>33</v>
      </c>
      <c r="B15" s="2" t="s">
        <v>72</v>
      </c>
      <c r="C15" s="2" t="s">
        <v>73</v>
      </c>
      <c r="D15" s="2" t="s">
        <v>74</v>
      </c>
      <c r="E15" s="2" t="s">
        <v>75</v>
      </c>
      <c r="F15" s="2">
        <v>46234</v>
      </c>
      <c r="G15" s="2">
        <v>912</v>
      </c>
      <c r="H15" s="2">
        <v>589.29999999999995</v>
      </c>
      <c r="I15" s="2">
        <v>24</v>
      </c>
      <c r="J15" s="2">
        <v>1200</v>
      </c>
      <c r="K15" s="2">
        <v>1.9699999999999999E-2</v>
      </c>
      <c r="L15" s="2">
        <v>0.65</v>
      </c>
      <c r="M15" s="2">
        <v>7</v>
      </c>
      <c r="N15" s="2">
        <v>0.45</v>
      </c>
    </row>
    <row r="16" spans="1:14" ht="22.5" customHeight="1" x14ac:dyDescent="0.2">
      <c r="A16" s="2" t="s">
        <v>33</v>
      </c>
      <c r="B16" s="2" t="s">
        <v>80</v>
      </c>
      <c r="C16" s="2" t="s">
        <v>81</v>
      </c>
      <c r="D16" s="2" t="s">
        <v>82</v>
      </c>
      <c r="E16" s="2" t="s">
        <v>21</v>
      </c>
      <c r="F16" s="2">
        <v>128901</v>
      </c>
      <c r="G16" s="2">
        <v>467</v>
      </c>
      <c r="H16" s="2">
        <v>128.9</v>
      </c>
      <c r="I16" s="2">
        <v>13</v>
      </c>
      <c r="J16" s="2">
        <v>650</v>
      </c>
      <c r="K16" s="2">
        <v>3.5999999999999999E-3</v>
      </c>
      <c r="L16" s="2">
        <v>0.28000000000000003</v>
      </c>
      <c r="M16" s="2">
        <v>7</v>
      </c>
      <c r="N16" s="2">
        <v>0.34</v>
      </c>
    </row>
    <row r="17" spans="1:14" ht="22.5" customHeight="1" x14ac:dyDescent="0.2">
      <c r="A17" s="2" t="s">
        <v>34</v>
      </c>
      <c r="B17" s="2" t="s">
        <v>68</v>
      </c>
      <c r="C17" s="2" t="s">
        <v>69</v>
      </c>
      <c r="D17" s="2" t="s">
        <v>70</v>
      </c>
      <c r="E17" s="2" t="s">
        <v>71</v>
      </c>
      <c r="F17" s="2">
        <v>24234</v>
      </c>
      <c r="G17" s="2">
        <v>1267</v>
      </c>
      <c r="H17" s="2">
        <v>241.2</v>
      </c>
      <c r="I17" s="2">
        <v>47</v>
      </c>
      <c r="J17" s="2">
        <v>2350</v>
      </c>
      <c r="K17" s="2">
        <v>5.2299999999999999E-2</v>
      </c>
      <c r="L17" s="2">
        <v>0.19</v>
      </c>
      <c r="M17" s="2">
        <v>9</v>
      </c>
      <c r="N17" s="2">
        <v>0.92</v>
      </c>
    </row>
    <row r="18" spans="1:14" ht="22.5" customHeight="1" x14ac:dyDescent="0.2">
      <c r="A18" s="2" t="s">
        <v>34</v>
      </c>
      <c r="B18" s="2" t="s">
        <v>76</v>
      </c>
      <c r="C18" s="2" t="s">
        <v>77</v>
      </c>
      <c r="D18" s="2" t="s">
        <v>78</v>
      </c>
      <c r="E18" s="2" t="s">
        <v>79</v>
      </c>
      <c r="F18" s="2">
        <v>72345</v>
      </c>
      <c r="G18" s="2">
        <v>2378</v>
      </c>
      <c r="H18" s="2">
        <v>432.9</v>
      </c>
      <c r="I18" s="2">
        <v>69</v>
      </c>
      <c r="J18" s="2">
        <v>3450</v>
      </c>
      <c r="K18" s="2">
        <v>3.2899999999999999E-2</v>
      </c>
      <c r="L18" s="2">
        <v>0.18</v>
      </c>
      <c r="M18" s="2">
        <v>8</v>
      </c>
      <c r="N18" s="2">
        <v>0.67</v>
      </c>
    </row>
    <row r="19" spans="1:14" ht="22.5" customHeight="1" x14ac:dyDescent="0.2">
      <c r="A19" s="2" t="s">
        <v>34</v>
      </c>
      <c r="B19" s="2" t="s">
        <v>80</v>
      </c>
      <c r="C19" s="2" t="s">
        <v>81</v>
      </c>
      <c r="D19" s="2" t="s">
        <v>82</v>
      </c>
      <c r="E19" s="2" t="s">
        <v>21</v>
      </c>
      <c r="F19" s="2">
        <v>131234</v>
      </c>
      <c r="G19" s="2">
        <v>478</v>
      </c>
      <c r="H19" s="2">
        <v>132.4</v>
      </c>
      <c r="I19" s="2">
        <v>13</v>
      </c>
      <c r="J19" s="2">
        <v>650</v>
      </c>
      <c r="K19" s="2">
        <v>3.5999999999999999E-3</v>
      </c>
      <c r="L19" s="2">
        <v>0.28000000000000003</v>
      </c>
      <c r="M19" s="2">
        <v>7</v>
      </c>
      <c r="N19" s="2">
        <v>0.35</v>
      </c>
    </row>
    <row r="20" spans="1:14" ht="22.5" customHeight="1" x14ac:dyDescent="0.2">
      <c r="A20" s="2" t="s">
        <v>35</v>
      </c>
      <c r="B20" s="2" t="s">
        <v>68</v>
      </c>
      <c r="C20" s="2" t="s">
        <v>69</v>
      </c>
      <c r="D20" s="2" t="s">
        <v>70</v>
      </c>
      <c r="E20" s="2" t="s">
        <v>71</v>
      </c>
      <c r="F20" s="2">
        <v>26789</v>
      </c>
      <c r="G20" s="2">
        <v>1456</v>
      </c>
      <c r="H20" s="2">
        <v>278.89999999999998</v>
      </c>
      <c r="I20" s="2">
        <v>54</v>
      </c>
      <c r="J20" s="2">
        <v>2700</v>
      </c>
      <c r="K20" s="2">
        <v>5.4399999999999997E-2</v>
      </c>
      <c r="L20" s="2">
        <v>0.19</v>
      </c>
      <c r="M20" s="2">
        <v>9</v>
      </c>
      <c r="N20" s="2">
        <v>0.93</v>
      </c>
    </row>
    <row r="21" spans="1:14" ht="15.75" customHeight="1" x14ac:dyDescent="0.2">
      <c r="A21" s="2" t="s">
        <v>35</v>
      </c>
      <c r="B21" s="2" t="s">
        <v>72</v>
      </c>
      <c r="C21" s="2" t="s">
        <v>73</v>
      </c>
      <c r="D21" s="2" t="s">
        <v>74</v>
      </c>
      <c r="E21" s="2" t="s">
        <v>75</v>
      </c>
      <c r="F21" s="2">
        <v>44567</v>
      </c>
      <c r="G21" s="2">
        <v>878</v>
      </c>
      <c r="H21" s="2">
        <v>567.20000000000005</v>
      </c>
      <c r="I21" s="2">
        <v>22</v>
      </c>
      <c r="J21" s="2">
        <v>1100</v>
      </c>
      <c r="K21" s="2">
        <v>1.9699999999999999E-2</v>
      </c>
      <c r="L21" s="2">
        <v>0.65</v>
      </c>
      <c r="M21" s="2">
        <v>6</v>
      </c>
      <c r="N21" s="2">
        <v>0.44</v>
      </c>
    </row>
    <row r="22" spans="1:14" ht="15.75" customHeight="1" x14ac:dyDescent="0.2">
      <c r="A22" s="2" t="s">
        <v>35</v>
      </c>
      <c r="B22" s="2" t="s">
        <v>76</v>
      </c>
      <c r="C22" s="2" t="s">
        <v>77</v>
      </c>
      <c r="D22" s="2" t="s">
        <v>78</v>
      </c>
      <c r="E22" s="2" t="s">
        <v>79</v>
      </c>
      <c r="F22" s="2">
        <v>70234</v>
      </c>
      <c r="G22" s="2">
        <v>2289</v>
      </c>
      <c r="H22" s="2">
        <v>419.5</v>
      </c>
      <c r="I22" s="2">
        <v>66</v>
      </c>
      <c r="J22" s="2">
        <v>3300</v>
      </c>
      <c r="K22" s="2">
        <v>3.2599999999999997E-2</v>
      </c>
      <c r="L22" s="2">
        <v>0.18</v>
      </c>
      <c r="M22" s="2">
        <v>8</v>
      </c>
      <c r="N22" s="2">
        <v>0.66</v>
      </c>
    </row>
    <row r="23" spans="1:14" ht="15.75" customHeight="1" x14ac:dyDescent="0.2">
      <c r="A23" s="2" t="s">
        <v>36</v>
      </c>
      <c r="B23" s="2" t="s">
        <v>68</v>
      </c>
      <c r="C23" s="2" t="s">
        <v>69</v>
      </c>
      <c r="D23" s="2" t="s">
        <v>70</v>
      </c>
      <c r="E23" s="2" t="s">
        <v>71</v>
      </c>
      <c r="F23" s="2">
        <v>22567</v>
      </c>
      <c r="G23" s="2">
        <v>1134</v>
      </c>
      <c r="H23" s="2">
        <v>216.8</v>
      </c>
      <c r="I23" s="2">
        <v>43</v>
      </c>
      <c r="J23" s="2">
        <v>2150</v>
      </c>
      <c r="K23" s="2">
        <v>5.0299999999999997E-2</v>
      </c>
      <c r="L23" s="2">
        <v>0.19</v>
      </c>
      <c r="M23" s="2">
        <v>9</v>
      </c>
      <c r="N23" s="2">
        <v>0.91</v>
      </c>
    </row>
    <row r="24" spans="1:14" ht="15.75" customHeight="1" x14ac:dyDescent="0.2">
      <c r="A24" s="2" t="s">
        <v>36</v>
      </c>
      <c r="B24" s="2" t="s">
        <v>72</v>
      </c>
      <c r="C24" s="2" t="s">
        <v>73</v>
      </c>
      <c r="D24" s="2" t="s">
        <v>74</v>
      </c>
      <c r="E24" s="2" t="s">
        <v>75</v>
      </c>
      <c r="F24" s="2">
        <v>48234</v>
      </c>
      <c r="G24" s="2">
        <v>989</v>
      </c>
      <c r="H24" s="2">
        <v>634.70000000000005</v>
      </c>
      <c r="I24" s="2">
        <v>26</v>
      </c>
      <c r="J24" s="2">
        <v>1300</v>
      </c>
      <c r="K24" s="2">
        <v>2.0500000000000001E-2</v>
      </c>
      <c r="L24" s="2">
        <v>0.64</v>
      </c>
      <c r="M24" s="2">
        <v>7</v>
      </c>
      <c r="N24" s="2">
        <v>0.46</v>
      </c>
    </row>
    <row r="25" spans="1:14" ht="15.75" customHeight="1" x14ac:dyDescent="0.2">
      <c r="A25" s="2" t="s">
        <v>36</v>
      </c>
      <c r="B25" s="2" t="s">
        <v>80</v>
      </c>
      <c r="C25" s="2" t="s">
        <v>81</v>
      </c>
      <c r="D25" s="2" t="s">
        <v>82</v>
      </c>
      <c r="E25" s="2" t="s">
        <v>21</v>
      </c>
      <c r="F25" s="2">
        <v>125678</v>
      </c>
      <c r="G25" s="2">
        <v>445</v>
      </c>
      <c r="H25" s="2">
        <v>121.3</v>
      </c>
      <c r="I25" s="2">
        <v>11</v>
      </c>
      <c r="J25" s="2">
        <v>550</v>
      </c>
      <c r="K25" s="2">
        <v>3.5000000000000001E-3</v>
      </c>
      <c r="L25" s="2">
        <v>0.27</v>
      </c>
      <c r="M25" s="2">
        <v>7</v>
      </c>
      <c r="N25" s="2">
        <v>0.34</v>
      </c>
    </row>
    <row r="26" spans="1:14" ht="15.75" customHeight="1" x14ac:dyDescent="0.2">
      <c r="A26" s="2" t="s">
        <v>37</v>
      </c>
      <c r="B26" s="2" t="s">
        <v>68</v>
      </c>
      <c r="C26" s="2" t="s">
        <v>69</v>
      </c>
      <c r="D26" s="2" t="s">
        <v>70</v>
      </c>
      <c r="E26" s="2" t="s">
        <v>71</v>
      </c>
      <c r="F26" s="2">
        <v>25234</v>
      </c>
      <c r="G26" s="2">
        <v>1312</v>
      </c>
      <c r="H26" s="2">
        <v>250.3</v>
      </c>
      <c r="I26" s="2">
        <v>49</v>
      </c>
      <c r="J26" s="2">
        <v>2450</v>
      </c>
      <c r="K26" s="2">
        <v>5.1999999999999998E-2</v>
      </c>
      <c r="L26" s="2">
        <v>0.19</v>
      </c>
      <c r="M26" s="2">
        <v>9</v>
      </c>
      <c r="N26" s="2">
        <v>0.92</v>
      </c>
    </row>
    <row r="27" spans="1:14" ht="15.75" customHeight="1" x14ac:dyDescent="0.2">
      <c r="A27" s="2" t="s">
        <v>37</v>
      </c>
      <c r="B27" s="2" t="s">
        <v>76</v>
      </c>
      <c r="C27" s="2" t="s">
        <v>77</v>
      </c>
      <c r="D27" s="2" t="s">
        <v>78</v>
      </c>
      <c r="E27" s="2" t="s">
        <v>79</v>
      </c>
      <c r="F27" s="2">
        <v>73456</v>
      </c>
      <c r="G27" s="2">
        <v>2423</v>
      </c>
      <c r="H27" s="2">
        <v>441.8</v>
      </c>
      <c r="I27" s="2">
        <v>70</v>
      </c>
      <c r="J27" s="2">
        <v>3500</v>
      </c>
      <c r="K27" s="2">
        <v>3.3000000000000002E-2</v>
      </c>
      <c r="L27" s="2">
        <v>0.18</v>
      </c>
      <c r="M27" s="2">
        <v>8</v>
      </c>
      <c r="N27" s="2">
        <v>0.68</v>
      </c>
    </row>
    <row r="28" spans="1:14" ht="15.75" customHeight="1" x14ac:dyDescent="0.2">
      <c r="A28" s="2" t="s">
        <v>37</v>
      </c>
      <c r="B28" s="2" t="s">
        <v>80</v>
      </c>
      <c r="C28" s="2" t="s">
        <v>81</v>
      </c>
      <c r="D28" s="2" t="s">
        <v>82</v>
      </c>
      <c r="E28" s="2" t="s">
        <v>21</v>
      </c>
      <c r="F28" s="2">
        <v>129345</v>
      </c>
      <c r="G28" s="2">
        <v>456</v>
      </c>
      <c r="H28" s="2">
        <v>125.6</v>
      </c>
      <c r="I28" s="2">
        <v>12</v>
      </c>
      <c r="J28" s="2">
        <v>600</v>
      </c>
      <c r="K28" s="2">
        <v>3.5000000000000001E-3</v>
      </c>
      <c r="L28" s="2">
        <v>0.28000000000000003</v>
      </c>
      <c r="M28" s="2">
        <v>7</v>
      </c>
      <c r="N28" s="2">
        <v>0.35</v>
      </c>
    </row>
    <row r="29" spans="1:14" ht="15.75" customHeight="1" x14ac:dyDescent="0.2">
      <c r="A29" s="2" t="s">
        <v>38</v>
      </c>
      <c r="B29" s="2" t="s">
        <v>68</v>
      </c>
      <c r="C29" s="2" t="s">
        <v>69</v>
      </c>
      <c r="D29" s="2" t="s">
        <v>70</v>
      </c>
      <c r="E29" s="2" t="s">
        <v>71</v>
      </c>
      <c r="F29" s="2">
        <v>24678</v>
      </c>
      <c r="G29" s="2">
        <v>1289</v>
      </c>
      <c r="H29" s="2">
        <v>245.9</v>
      </c>
      <c r="I29" s="2">
        <v>48</v>
      </c>
      <c r="J29" s="2">
        <v>2400</v>
      </c>
      <c r="K29" s="2">
        <v>5.2200000000000003E-2</v>
      </c>
      <c r="L29" s="2">
        <v>0.19</v>
      </c>
      <c r="M29" s="2">
        <v>9</v>
      </c>
      <c r="N29" s="2">
        <v>0.91</v>
      </c>
    </row>
    <row r="30" spans="1:14" ht="15.75" customHeight="1" x14ac:dyDescent="0.2">
      <c r="A30" s="2" t="s">
        <v>38</v>
      </c>
      <c r="B30" s="2" t="s">
        <v>72</v>
      </c>
      <c r="C30" s="2" t="s">
        <v>73</v>
      </c>
      <c r="D30" s="2" t="s">
        <v>74</v>
      </c>
      <c r="E30" s="2" t="s">
        <v>75</v>
      </c>
      <c r="F30" s="2">
        <v>45234</v>
      </c>
      <c r="G30" s="2">
        <v>901</v>
      </c>
      <c r="H30" s="2">
        <v>578.9</v>
      </c>
      <c r="I30" s="2">
        <v>23</v>
      </c>
      <c r="J30" s="2">
        <v>1150</v>
      </c>
      <c r="K30" s="2">
        <v>1.9900000000000001E-2</v>
      </c>
      <c r="L30" s="2">
        <v>0.64</v>
      </c>
      <c r="M30" s="2">
        <v>7</v>
      </c>
      <c r="N30" s="2">
        <v>0.45</v>
      </c>
    </row>
    <row r="31" spans="1:14" ht="15.75" customHeight="1" x14ac:dyDescent="0.2">
      <c r="A31" s="2" t="s">
        <v>38</v>
      </c>
      <c r="B31" s="2" t="s">
        <v>76</v>
      </c>
      <c r="C31" s="2" t="s">
        <v>77</v>
      </c>
      <c r="D31" s="2" t="s">
        <v>78</v>
      </c>
      <c r="E31" s="2" t="s">
        <v>79</v>
      </c>
      <c r="F31" s="2">
        <v>68901</v>
      </c>
      <c r="G31" s="2">
        <v>2267</v>
      </c>
      <c r="H31" s="2">
        <v>414.2</v>
      </c>
      <c r="I31" s="2">
        <v>64</v>
      </c>
      <c r="J31" s="2">
        <v>3200</v>
      </c>
      <c r="K31" s="2">
        <v>3.2899999999999999E-2</v>
      </c>
      <c r="L31" s="2">
        <v>0.18</v>
      </c>
      <c r="M31" s="2">
        <v>8</v>
      </c>
      <c r="N31" s="2">
        <v>0.67</v>
      </c>
    </row>
    <row r="32" spans="1:14" ht="15.75" customHeight="1" x14ac:dyDescent="0.2">
      <c r="A32" s="2" t="s">
        <v>39</v>
      </c>
      <c r="B32" s="2" t="s">
        <v>68</v>
      </c>
      <c r="C32" s="2" t="s">
        <v>69</v>
      </c>
      <c r="D32" s="2" t="s">
        <v>70</v>
      </c>
      <c r="E32" s="2" t="s">
        <v>71</v>
      </c>
      <c r="F32" s="2">
        <v>26234</v>
      </c>
      <c r="G32" s="2">
        <v>1378</v>
      </c>
      <c r="H32" s="2">
        <v>263.39999999999998</v>
      </c>
      <c r="I32" s="2">
        <v>52</v>
      </c>
      <c r="J32" s="2">
        <v>2600</v>
      </c>
      <c r="K32" s="2">
        <v>5.2499999999999998E-2</v>
      </c>
      <c r="L32" s="2">
        <v>0.19</v>
      </c>
      <c r="M32" s="2">
        <v>9</v>
      </c>
      <c r="N32" s="2">
        <v>0.92</v>
      </c>
    </row>
    <row r="33" spans="1:14" ht="15.75" customHeight="1" x14ac:dyDescent="0.2">
      <c r="A33" s="2" t="s">
        <v>39</v>
      </c>
      <c r="B33" s="2" t="s">
        <v>72</v>
      </c>
      <c r="C33" s="2" t="s">
        <v>73</v>
      </c>
      <c r="D33" s="2" t="s">
        <v>74</v>
      </c>
      <c r="E33" s="2" t="s">
        <v>75</v>
      </c>
      <c r="F33" s="2">
        <v>47890</v>
      </c>
      <c r="G33" s="2">
        <v>934</v>
      </c>
      <c r="H33" s="2">
        <v>612.5</v>
      </c>
      <c r="I33" s="2">
        <v>26</v>
      </c>
      <c r="J33" s="2">
        <v>1300</v>
      </c>
      <c r="K33" s="2">
        <v>1.95E-2</v>
      </c>
      <c r="L33" s="2">
        <v>0.66</v>
      </c>
      <c r="M33" s="2">
        <v>7</v>
      </c>
      <c r="N33" s="2">
        <v>0.46</v>
      </c>
    </row>
    <row r="34" spans="1:14" ht="15.75" customHeight="1" x14ac:dyDescent="0.2">
      <c r="A34" s="2" t="s">
        <v>39</v>
      </c>
      <c r="B34" s="2" t="s">
        <v>76</v>
      </c>
      <c r="C34" s="2" t="s">
        <v>77</v>
      </c>
      <c r="D34" s="2" t="s">
        <v>78</v>
      </c>
      <c r="E34" s="2" t="s">
        <v>79</v>
      </c>
      <c r="F34" s="2">
        <v>71234</v>
      </c>
      <c r="G34" s="2">
        <v>2456</v>
      </c>
      <c r="H34" s="2">
        <v>445.8</v>
      </c>
      <c r="I34" s="2">
        <v>71</v>
      </c>
      <c r="J34" s="2">
        <v>3550</v>
      </c>
      <c r="K34" s="2">
        <v>3.4500000000000003E-2</v>
      </c>
      <c r="L34" s="2">
        <v>0.18</v>
      </c>
      <c r="M34" s="2">
        <v>8</v>
      </c>
      <c r="N34" s="2">
        <v>0.68</v>
      </c>
    </row>
    <row r="35" spans="1:14" ht="15.75" customHeight="1" x14ac:dyDescent="0.2">
      <c r="A35" s="2" t="s">
        <v>39</v>
      </c>
      <c r="B35" s="2" t="s">
        <v>80</v>
      </c>
      <c r="C35" s="2" t="s">
        <v>81</v>
      </c>
      <c r="D35" s="2" t="s">
        <v>82</v>
      </c>
      <c r="E35" s="2" t="s">
        <v>21</v>
      </c>
      <c r="F35" s="2">
        <v>136789</v>
      </c>
      <c r="G35" s="2">
        <v>512</v>
      </c>
      <c r="H35" s="2">
        <v>142.30000000000001</v>
      </c>
      <c r="I35" s="2">
        <v>15</v>
      </c>
      <c r="J35" s="2">
        <v>750</v>
      </c>
      <c r="K35" s="2">
        <v>3.7000000000000002E-3</v>
      </c>
      <c r="L35" s="2">
        <v>0.28000000000000003</v>
      </c>
      <c r="M35" s="2">
        <v>7</v>
      </c>
      <c r="N35" s="2">
        <v>0.36</v>
      </c>
    </row>
    <row r="36" spans="1:14" ht="15.75" customHeight="1" x14ac:dyDescent="0.2">
      <c r="A36" s="2" t="s">
        <v>40</v>
      </c>
      <c r="B36" s="2" t="s">
        <v>68</v>
      </c>
      <c r="C36" s="2" t="s">
        <v>69</v>
      </c>
      <c r="D36" s="2" t="s">
        <v>70</v>
      </c>
      <c r="E36" s="2" t="s">
        <v>71</v>
      </c>
      <c r="F36" s="2">
        <v>25123</v>
      </c>
      <c r="G36" s="2">
        <v>1312</v>
      </c>
      <c r="H36" s="2">
        <v>250.4</v>
      </c>
      <c r="I36" s="2">
        <v>49</v>
      </c>
      <c r="J36" s="2">
        <v>2450</v>
      </c>
      <c r="K36" s="2">
        <v>5.2200000000000003E-2</v>
      </c>
      <c r="L36" s="2">
        <v>0.19</v>
      </c>
      <c r="M36" s="2">
        <v>9</v>
      </c>
      <c r="N36" s="2">
        <v>0.91</v>
      </c>
    </row>
    <row r="37" spans="1:14" ht="15.75" customHeight="1" x14ac:dyDescent="0.2">
      <c r="A37" s="2" t="s">
        <v>40</v>
      </c>
      <c r="B37" s="2" t="s">
        <v>72</v>
      </c>
      <c r="C37" s="2" t="s">
        <v>73</v>
      </c>
      <c r="D37" s="2" t="s">
        <v>74</v>
      </c>
      <c r="E37" s="2" t="s">
        <v>75</v>
      </c>
      <c r="F37" s="2">
        <v>46567</v>
      </c>
      <c r="G37" s="2">
        <v>912</v>
      </c>
      <c r="H37" s="2">
        <v>596.70000000000005</v>
      </c>
      <c r="I37" s="2">
        <v>24</v>
      </c>
      <c r="J37" s="2">
        <v>1200</v>
      </c>
      <c r="K37" s="2">
        <v>1.9599999999999999E-2</v>
      </c>
      <c r="L37" s="2">
        <v>0.65</v>
      </c>
      <c r="M37" s="2">
        <v>7</v>
      </c>
      <c r="N37" s="2">
        <v>0.45</v>
      </c>
    </row>
    <row r="38" spans="1:14" ht="15.75" customHeight="1" x14ac:dyDescent="0.2">
      <c r="A38" s="2" t="s">
        <v>40</v>
      </c>
      <c r="B38" s="2" t="s">
        <v>76</v>
      </c>
      <c r="C38" s="2" t="s">
        <v>77</v>
      </c>
      <c r="D38" s="2" t="s">
        <v>78</v>
      </c>
      <c r="E38" s="2" t="s">
        <v>79</v>
      </c>
      <c r="F38" s="2">
        <v>69890</v>
      </c>
      <c r="G38" s="2">
        <v>2334</v>
      </c>
      <c r="H38" s="2">
        <v>428.9</v>
      </c>
      <c r="I38" s="2">
        <v>66</v>
      </c>
      <c r="J38" s="2">
        <v>3300</v>
      </c>
      <c r="K38" s="2">
        <v>3.3399999999999999E-2</v>
      </c>
      <c r="L38" s="2">
        <v>0.18</v>
      </c>
      <c r="M38" s="2">
        <v>8</v>
      </c>
      <c r="N38" s="2">
        <v>0.67</v>
      </c>
    </row>
    <row r="39" spans="1:14" ht="15.75" customHeight="1" x14ac:dyDescent="0.2">
      <c r="A39" s="2" t="s">
        <v>40</v>
      </c>
      <c r="B39" s="2" t="s">
        <v>80</v>
      </c>
      <c r="C39" s="2" t="s">
        <v>81</v>
      </c>
      <c r="D39" s="2" t="s">
        <v>82</v>
      </c>
      <c r="E39" s="2" t="s">
        <v>21</v>
      </c>
      <c r="F39" s="2">
        <v>133456</v>
      </c>
      <c r="G39" s="2">
        <v>489</v>
      </c>
      <c r="H39" s="2">
        <v>131.19999999999999</v>
      </c>
      <c r="I39" s="2">
        <v>14</v>
      </c>
      <c r="J39" s="2">
        <v>700</v>
      </c>
      <c r="K39" s="2">
        <v>3.7000000000000002E-3</v>
      </c>
      <c r="L39" s="2">
        <v>0.27</v>
      </c>
      <c r="M39" s="2">
        <v>7</v>
      </c>
      <c r="N39" s="2">
        <v>0.35</v>
      </c>
    </row>
    <row r="40" spans="1:14" ht="15.75" customHeight="1" x14ac:dyDescent="0.2">
      <c r="A40" s="2" t="s">
        <v>41</v>
      </c>
      <c r="B40" s="2" t="s">
        <v>68</v>
      </c>
      <c r="C40" s="2" t="s">
        <v>69</v>
      </c>
      <c r="D40" s="2" t="s">
        <v>70</v>
      </c>
      <c r="E40" s="2" t="s">
        <v>71</v>
      </c>
      <c r="F40" s="2">
        <v>22456</v>
      </c>
      <c r="G40" s="2">
        <v>1156</v>
      </c>
      <c r="H40" s="2">
        <v>220.4</v>
      </c>
      <c r="I40" s="2">
        <v>43</v>
      </c>
      <c r="J40" s="2">
        <v>2150</v>
      </c>
      <c r="K40" s="2">
        <v>5.1499999999999997E-2</v>
      </c>
      <c r="L40" s="2">
        <v>0.19</v>
      </c>
      <c r="M40" s="2">
        <v>9</v>
      </c>
      <c r="N40" s="2">
        <v>0.9</v>
      </c>
    </row>
    <row r="41" spans="1:14" ht="15.75" customHeight="1" x14ac:dyDescent="0.2">
      <c r="A41" s="2" t="s">
        <v>41</v>
      </c>
      <c r="B41" s="2" t="s">
        <v>72</v>
      </c>
      <c r="C41" s="2" t="s">
        <v>73</v>
      </c>
      <c r="D41" s="2" t="s">
        <v>74</v>
      </c>
      <c r="E41" s="2" t="s">
        <v>75</v>
      </c>
      <c r="F41" s="2">
        <v>41234</v>
      </c>
      <c r="G41" s="2">
        <v>823</v>
      </c>
      <c r="H41" s="2">
        <v>528.9</v>
      </c>
      <c r="I41" s="2">
        <v>21</v>
      </c>
      <c r="J41" s="2">
        <v>1050</v>
      </c>
      <c r="K41" s="2">
        <v>0.02</v>
      </c>
      <c r="L41" s="2">
        <v>0.64</v>
      </c>
      <c r="M41" s="2">
        <v>6</v>
      </c>
      <c r="N41" s="2">
        <v>0.43</v>
      </c>
    </row>
    <row r="42" spans="1:14" ht="15.75" customHeight="1" x14ac:dyDescent="0.2">
      <c r="A42" s="2" t="s">
        <v>41</v>
      </c>
      <c r="B42" s="2" t="s">
        <v>76</v>
      </c>
      <c r="C42" s="2" t="s">
        <v>77</v>
      </c>
      <c r="D42" s="2" t="s">
        <v>78</v>
      </c>
      <c r="E42" s="2" t="s">
        <v>79</v>
      </c>
      <c r="F42" s="2">
        <v>63456</v>
      </c>
      <c r="G42" s="2">
        <v>2089</v>
      </c>
      <c r="H42" s="2">
        <v>382.6</v>
      </c>
      <c r="I42" s="2">
        <v>60</v>
      </c>
      <c r="J42" s="2">
        <v>3000</v>
      </c>
      <c r="K42" s="2">
        <v>3.2899999999999999E-2</v>
      </c>
      <c r="L42" s="2">
        <v>0.18</v>
      </c>
      <c r="M42" s="2">
        <v>8</v>
      </c>
      <c r="N42" s="2">
        <v>0.65</v>
      </c>
    </row>
    <row r="43" spans="1:14" ht="15.75" customHeight="1" x14ac:dyDescent="0.2">
      <c r="A43" s="2" t="s">
        <v>41</v>
      </c>
      <c r="B43" s="2" t="s">
        <v>80</v>
      </c>
      <c r="C43" s="2" t="s">
        <v>81</v>
      </c>
      <c r="D43" s="2" t="s">
        <v>82</v>
      </c>
      <c r="E43" s="2" t="s">
        <v>21</v>
      </c>
      <c r="F43" s="2">
        <v>119234</v>
      </c>
      <c r="G43" s="2">
        <v>434</v>
      </c>
      <c r="H43" s="2">
        <v>116.8</v>
      </c>
      <c r="I43" s="2">
        <v>12</v>
      </c>
      <c r="J43" s="2">
        <v>600</v>
      </c>
      <c r="K43" s="2">
        <v>3.5999999999999999E-3</v>
      </c>
      <c r="L43" s="2">
        <v>0.27</v>
      </c>
      <c r="M43" s="2">
        <v>7</v>
      </c>
      <c r="N43" s="2">
        <v>0.33</v>
      </c>
    </row>
    <row r="44" spans="1:14" ht="15.75" customHeight="1" x14ac:dyDescent="0.2">
      <c r="A44" s="2" t="s">
        <v>42</v>
      </c>
      <c r="B44" s="2" t="s">
        <v>68</v>
      </c>
      <c r="C44" s="2" t="s">
        <v>69</v>
      </c>
      <c r="D44" s="2" t="s">
        <v>70</v>
      </c>
      <c r="E44" s="2" t="s">
        <v>71</v>
      </c>
      <c r="F44" s="2">
        <v>21234</v>
      </c>
      <c r="G44" s="2">
        <v>1089</v>
      </c>
      <c r="H44" s="2">
        <v>207.8</v>
      </c>
      <c r="I44" s="2">
        <v>41</v>
      </c>
      <c r="J44" s="2">
        <v>2050</v>
      </c>
      <c r="K44" s="2">
        <v>5.1299999999999998E-2</v>
      </c>
      <c r="L44" s="2">
        <v>0.19</v>
      </c>
      <c r="M44" s="2">
        <v>9</v>
      </c>
      <c r="N44" s="2">
        <v>0.89</v>
      </c>
    </row>
    <row r="45" spans="1:14" ht="15.75" customHeight="1" x14ac:dyDescent="0.2">
      <c r="A45" s="2" t="s">
        <v>42</v>
      </c>
      <c r="B45" s="2" t="s">
        <v>72</v>
      </c>
      <c r="C45" s="2" t="s">
        <v>73</v>
      </c>
      <c r="D45" s="2" t="s">
        <v>74</v>
      </c>
      <c r="E45" s="2" t="s">
        <v>75</v>
      </c>
      <c r="F45" s="2">
        <v>39567</v>
      </c>
      <c r="G45" s="2">
        <v>789</v>
      </c>
      <c r="H45" s="2">
        <v>507.4</v>
      </c>
      <c r="I45" s="2">
        <v>19</v>
      </c>
      <c r="J45" s="2">
        <v>950</v>
      </c>
      <c r="K45" s="2">
        <v>1.9900000000000001E-2</v>
      </c>
      <c r="L45" s="2">
        <v>0.64</v>
      </c>
      <c r="M45" s="2">
        <v>6</v>
      </c>
      <c r="N45" s="2">
        <v>0.42</v>
      </c>
    </row>
    <row r="46" spans="1:14" ht="15.75" customHeight="1" x14ac:dyDescent="0.2">
      <c r="A46" s="2" t="s">
        <v>42</v>
      </c>
      <c r="B46" s="2" t="s">
        <v>76</v>
      </c>
      <c r="C46" s="2" t="s">
        <v>77</v>
      </c>
      <c r="D46" s="2" t="s">
        <v>78</v>
      </c>
      <c r="E46" s="2" t="s">
        <v>79</v>
      </c>
      <c r="F46" s="2">
        <v>61890</v>
      </c>
      <c r="G46" s="2">
        <v>2012</v>
      </c>
      <c r="H46" s="2">
        <v>369.3</v>
      </c>
      <c r="I46" s="2">
        <v>58</v>
      </c>
      <c r="J46" s="2">
        <v>2900</v>
      </c>
      <c r="K46" s="2">
        <v>3.2500000000000001E-2</v>
      </c>
      <c r="L46" s="2">
        <v>0.18</v>
      </c>
      <c r="M46" s="2">
        <v>8</v>
      </c>
      <c r="N46" s="2">
        <v>0.64</v>
      </c>
    </row>
    <row r="47" spans="1:14" ht="15.75" customHeight="1" x14ac:dyDescent="0.2">
      <c r="A47" s="2" t="s">
        <v>42</v>
      </c>
      <c r="B47" s="2" t="s">
        <v>80</v>
      </c>
      <c r="C47" s="2" t="s">
        <v>81</v>
      </c>
      <c r="D47" s="2" t="s">
        <v>82</v>
      </c>
      <c r="E47" s="2" t="s">
        <v>21</v>
      </c>
      <c r="F47" s="2">
        <v>115678</v>
      </c>
      <c r="G47" s="2">
        <v>412</v>
      </c>
      <c r="H47" s="2">
        <v>113.4</v>
      </c>
      <c r="I47" s="2">
        <v>11</v>
      </c>
      <c r="J47" s="2">
        <v>550</v>
      </c>
      <c r="K47" s="2">
        <v>3.5999999999999999E-3</v>
      </c>
      <c r="L47" s="2">
        <v>0.28000000000000003</v>
      </c>
      <c r="M47" s="2">
        <v>7</v>
      </c>
      <c r="N47" s="2">
        <v>0.32</v>
      </c>
    </row>
    <row r="48" spans="1:14" ht="15.75" customHeight="1" x14ac:dyDescent="0.2">
      <c r="A48" s="2" t="s">
        <v>43</v>
      </c>
      <c r="B48" s="2" t="s">
        <v>68</v>
      </c>
      <c r="C48" s="2" t="s">
        <v>69</v>
      </c>
      <c r="D48" s="2" t="s">
        <v>70</v>
      </c>
      <c r="E48" s="2" t="s">
        <v>71</v>
      </c>
      <c r="F48" s="2">
        <v>23890</v>
      </c>
      <c r="G48" s="2">
        <v>1234</v>
      </c>
      <c r="H48" s="2">
        <v>235.6</v>
      </c>
      <c r="I48" s="2">
        <v>46</v>
      </c>
      <c r="J48" s="2">
        <v>2300</v>
      </c>
      <c r="K48" s="2">
        <v>5.1700000000000003E-2</v>
      </c>
      <c r="L48" s="2">
        <v>0.19</v>
      </c>
      <c r="M48" s="2">
        <v>9</v>
      </c>
      <c r="N48" s="2">
        <v>0.91</v>
      </c>
    </row>
    <row r="49" spans="1:14" ht="15.75" customHeight="1" x14ac:dyDescent="0.2">
      <c r="A49" s="2" t="s">
        <v>43</v>
      </c>
      <c r="B49" s="2" t="s">
        <v>72</v>
      </c>
      <c r="C49" s="2" t="s">
        <v>73</v>
      </c>
      <c r="D49" s="2" t="s">
        <v>74</v>
      </c>
      <c r="E49" s="2" t="s">
        <v>75</v>
      </c>
      <c r="F49" s="2">
        <v>43789</v>
      </c>
      <c r="G49" s="2">
        <v>856</v>
      </c>
      <c r="H49" s="2">
        <v>560.9</v>
      </c>
      <c r="I49" s="2">
        <v>22</v>
      </c>
      <c r="J49" s="2">
        <v>1100</v>
      </c>
      <c r="K49" s="2">
        <v>1.95E-2</v>
      </c>
      <c r="L49" s="2">
        <v>0.66</v>
      </c>
      <c r="M49" s="2">
        <v>7</v>
      </c>
      <c r="N49" s="2">
        <v>0.44</v>
      </c>
    </row>
    <row r="50" spans="1:14" ht="15.75" customHeight="1" x14ac:dyDescent="0.2">
      <c r="A50" s="2" t="s">
        <v>43</v>
      </c>
      <c r="B50" s="2" t="s">
        <v>76</v>
      </c>
      <c r="C50" s="2" t="s">
        <v>77</v>
      </c>
      <c r="D50" s="2" t="s">
        <v>78</v>
      </c>
      <c r="E50" s="2" t="s">
        <v>79</v>
      </c>
      <c r="F50" s="2">
        <v>67234</v>
      </c>
      <c r="G50" s="2">
        <v>2234</v>
      </c>
      <c r="H50" s="2">
        <v>411.7</v>
      </c>
      <c r="I50" s="2">
        <v>65</v>
      </c>
      <c r="J50" s="2">
        <v>3250</v>
      </c>
      <c r="K50" s="2">
        <v>3.32E-2</v>
      </c>
      <c r="L50" s="2">
        <v>0.18</v>
      </c>
      <c r="M50" s="2">
        <v>8</v>
      </c>
      <c r="N50" s="2">
        <v>0.66</v>
      </c>
    </row>
    <row r="51" spans="1:14" ht="15.75" customHeight="1" x14ac:dyDescent="0.2">
      <c r="A51" s="2" t="s">
        <v>43</v>
      </c>
      <c r="B51" s="2" t="s">
        <v>80</v>
      </c>
      <c r="C51" s="2" t="s">
        <v>81</v>
      </c>
      <c r="D51" s="2" t="s">
        <v>82</v>
      </c>
      <c r="E51" s="2" t="s">
        <v>21</v>
      </c>
      <c r="F51" s="2">
        <v>128901</v>
      </c>
      <c r="G51" s="2">
        <v>467</v>
      </c>
      <c r="H51" s="2">
        <v>126.7</v>
      </c>
      <c r="I51" s="2">
        <v>13</v>
      </c>
      <c r="J51" s="2">
        <v>650</v>
      </c>
      <c r="K51" s="2">
        <v>3.5999999999999999E-3</v>
      </c>
      <c r="L51" s="2">
        <v>0.27</v>
      </c>
      <c r="M51" s="2">
        <v>7</v>
      </c>
      <c r="N51" s="2">
        <v>0.34</v>
      </c>
    </row>
    <row r="52" spans="1:14" ht="15.75" customHeight="1" x14ac:dyDescent="0.2">
      <c r="A52" s="2" t="s">
        <v>44</v>
      </c>
      <c r="B52" s="2" t="s">
        <v>68</v>
      </c>
      <c r="C52" s="2" t="s">
        <v>69</v>
      </c>
      <c r="D52" s="2" t="s">
        <v>70</v>
      </c>
      <c r="E52" s="2" t="s">
        <v>71</v>
      </c>
      <c r="F52" s="2">
        <v>25456</v>
      </c>
      <c r="G52" s="2">
        <v>1345</v>
      </c>
      <c r="H52" s="2">
        <v>257.3</v>
      </c>
      <c r="I52" s="2">
        <v>51</v>
      </c>
      <c r="J52" s="2">
        <v>2550</v>
      </c>
      <c r="K52" s="2">
        <v>5.28E-2</v>
      </c>
      <c r="L52" s="2">
        <v>0.19</v>
      </c>
      <c r="M52" s="2">
        <v>9</v>
      </c>
      <c r="N52" s="2">
        <v>0.92</v>
      </c>
    </row>
    <row r="53" spans="1:14" ht="15.75" customHeight="1" x14ac:dyDescent="0.2">
      <c r="A53" s="2" t="s">
        <v>44</v>
      </c>
      <c r="B53" s="2" t="s">
        <v>72</v>
      </c>
      <c r="C53" s="2" t="s">
        <v>73</v>
      </c>
      <c r="D53" s="2" t="s">
        <v>74</v>
      </c>
      <c r="E53" s="2" t="s">
        <v>75</v>
      </c>
      <c r="F53" s="2">
        <v>45678</v>
      </c>
      <c r="G53" s="2">
        <v>901</v>
      </c>
      <c r="H53" s="2">
        <v>584.5</v>
      </c>
      <c r="I53" s="2">
        <v>24</v>
      </c>
      <c r="J53" s="2">
        <v>1200</v>
      </c>
      <c r="K53" s="2">
        <v>1.9699999999999999E-2</v>
      </c>
      <c r="L53" s="2">
        <v>0.65</v>
      </c>
      <c r="M53" s="2">
        <v>7</v>
      </c>
      <c r="N53" s="2">
        <v>0.45</v>
      </c>
    </row>
    <row r="54" spans="1:14" ht="15.75" customHeight="1" x14ac:dyDescent="0.2">
      <c r="A54" s="2" t="s">
        <v>44</v>
      </c>
      <c r="B54" s="2" t="s">
        <v>76</v>
      </c>
      <c r="C54" s="2" t="s">
        <v>77</v>
      </c>
      <c r="D54" s="2" t="s">
        <v>78</v>
      </c>
      <c r="E54" s="2" t="s">
        <v>79</v>
      </c>
      <c r="F54" s="2">
        <v>70123</v>
      </c>
      <c r="G54" s="2">
        <v>2378</v>
      </c>
      <c r="H54" s="2">
        <v>435.8</v>
      </c>
      <c r="I54" s="2">
        <v>69</v>
      </c>
      <c r="J54" s="2">
        <v>3450</v>
      </c>
      <c r="K54" s="2">
        <v>3.39E-2</v>
      </c>
      <c r="L54" s="2">
        <v>0.18</v>
      </c>
      <c r="M54" s="2">
        <v>8</v>
      </c>
      <c r="N54" s="2">
        <v>0.67</v>
      </c>
    </row>
    <row r="55" spans="1:14" ht="15.75" customHeight="1" x14ac:dyDescent="0.2">
      <c r="A55" s="2" t="s">
        <v>44</v>
      </c>
      <c r="B55" s="2" t="s">
        <v>80</v>
      </c>
      <c r="C55" s="2" t="s">
        <v>81</v>
      </c>
      <c r="D55" s="2" t="s">
        <v>82</v>
      </c>
      <c r="E55" s="2" t="s">
        <v>21</v>
      </c>
      <c r="F55" s="2">
        <v>132567</v>
      </c>
      <c r="G55" s="2">
        <v>489</v>
      </c>
      <c r="H55" s="2">
        <v>130.5</v>
      </c>
      <c r="I55" s="2">
        <v>14</v>
      </c>
      <c r="J55" s="2">
        <v>700</v>
      </c>
      <c r="K55" s="2">
        <v>3.7000000000000002E-3</v>
      </c>
      <c r="L55" s="2">
        <v>0.27</v>
      </c>
      <c r="M55" s="2">
        <v>7</v>
      </c>
      <c r="N55" s="2">
        <v>0.35</v>
      </c>
    </row>
    <row r="56" spans="1:14" ht="15.75" customHeight="1" x14ac:dyDescent="0.2">
      <c r="A56" s="2" t="s">
        <v>45</v>
      </c>
      <c r="B56" s="2" t="s">
        <v>68</v>
      </c>
      <c r="C56" s="2" t="s">
        <v>69</v>
      </c>
      <c r="D56" s="2" t="s">
        <v>70</v>
      </c>
      <c r="E56" s="2" t="s">
        <v>71</v>
      </c>
      <c r="F56" s="2">
        <v>26789</v>
      </c>
      <c r="G56" s="2">
        <v>1456</v>
      </c>
      <c r="H56" s="2">
        <v>278.89999999999998</v>
      </c>
      <c r="I56" s="2">
        <v>54</v>
      </c>
      <c r="J56" s="2">
        <v>2700</v>
      </c>
      <c r="K56" s="2">
        <v>5.4399999999999997E-2</v>
      </c>
      <c r="L56" s="2">
        <v>0.19</v>
      </c>
      <c r="M56" s="2">
        <v>9</v>
      </c>
      <c r="N56" s="2">
        <v>0.93</v>
      </c>
    </row>
    <row r="57" spans="1:14" ht="15.75" customHeight="1" x14ac:dyDescent="0.2">
      <c r="A57" s="2" t="s">
        <v>45</v>
      </c>
      <c r="B57" s="2" t="s">
        <v>72</v>
      </c>
      <c r="C57" s="2" t="s">
        <v>73</v>
      </c>
      <c r="D57" s="2" t="s">
        <v>74</v>
      </c>
      <c r="E57" s="2" t="s">
        <v>75</v>
      </c>
      <c r="F57" s="2">
        <v>47234</v>
      </c>
      <c r="G57" s="2">
        <v>967</v>
      </c>
      <c r="H57" s="2">
        <v>605.6</v>
      </c>
      <c r="I57" s="2">
        <v>25</v>
      </c>
      <c r="J57" s="2">
        <v>1250</v>
      </c>
      <c r="K57" s="2">
        <v>2.0500000000000001E-2</v>
      </c>
      <c r="L57" s="2">
        <v>0.63</v>
      </c>
      <c r="M57" s="2">
        <v>7</v>
      </c>
      <c r="N57" s="2">
        <v>0.46</v>
      </c>
    </row>
    <row r="58" spans="1:14" ht="15.75" customHeight="1" x14ac:dyDescent="0.2">
      <c r="A58" s="2" t="s">
        <v>45</v>
      </c>
      <c r="B58" s="2" t="s">
        <v>76</v>
      </c>
      <c r="C58" s="2" t="s">
        <v>77</v>
      </c>
      <c r="D58" s="2" t="s">
        <v>78</v>
      </c>
      <c r="E58" s="2" t="s">
        <v>79</v>
      </c>
      <c r="F58" s="2">
        <v>72456</v>
      </c>
      <c r="G58" s="2">
        <v>2489</v>
      </c>
      <c r="H58" s="2">
        <v>450.7</v>
      </c>
      <c r="I58" s="2">
        <v>72</v>
      </c>
      <c r="J58" s="2">
        <v>3600</v>
      </c>
      <c r="K58" s="2">
        <v>3.44E-2</v>
      </c>
      <c r="L58" s="2">
        <v>0.18</v>
      </c>
      <c r="M58" s="2">
        <v>8</v>
      </c>
      <c r="N58" s="2">
        <v>0.68</v>
      </c>
    </row>
    <row r="59" spans="1:14" ht="15.75" customHeight="1" x14ac:dyDescent="0.2">
      <c r="A59" s="2" t="s">
        <v>45</v>
      </c>
      <c r="B59" s="2" t="s">
        <v>80</v>
      </c>
      <c r="C59" s="2" t="s">
        <v>81</v>
      </c>
      <c r="D59" s="2" t="s">
        <v>82</v>
      </c>
      <c r="E59" s="2" t="s">
        <v>21</v>
      </c>
      <c r="F59" s="2">
        <v>138901</v>
      </c>
      <c r="G59" s="2">
        <v>534</v>
      </c>
      <c r="H59" s="2">
        <v>136.4</v>
      </c>
      <c r="I59" s="2">
        <v>15</v>
      </c>
      <c r="J59" s="2">
        <v>750</v>
      </c>
      <c r="K59" s="2">
        <v>3.8E-3</v>
      </c>
      <c r="L59" s="2">
        <v>0.26</v>
      </c>
      <c r="M59" s="2">
        <v>7</v>
      </c>
      <c r="N59" s="2">
        <v>0.36</v>
      </c>
    </row>
    <row r="60" spans="1:14" ht="15.75" customHeight="1" x14ac:dyDescent="0.2">
      <c r="A60" s="2" t="s">
        <v>46</v>
      </c>
      <c r="B60" s="2" t="s">
        <v>68</v>
      </c>
      <c r="C60" s="2" t="s">
        <v>69</v>
      </c>
      <c r="D60" s="2" t="s">
        <v>70</v>
      </c>
      <c r="E60" s="2" t="s">
        <v>71</v>
      </c>
      <c r="F60" s="2">
        <v>25789</v>
      </c>
      <c r="G60" s="2">
        <v>1389</v>
      </c>
      <c r="H60" s="2">
        <v>265.2</v>
      </c>
      <c r="I60" s="2">
        <v>52</v>
      </c>
      <c r="J60" s="2">
        <v>2600</v>
      </c>
      <c r="K60" s="2">
        <v>5.3800000000000001E-2</v>
      </c>
      <c r="L60" s="2">
        <v>0.19</v>
      </c>
      <c r="M60" s="2">
        <v>9</v>
      </c>
      <c r="N60" s="2">
        <v>0.92</v>
      </c>
    </row>
    <row r="61" spans="1:14" ht="15.75" customHeight="1" x14ac:dyDescent="0.2">
      <c r="A61" s="2" t="s">
        <v>46</v>
      </c>
      <c r="B61" s="2" t="s">
        <v>72</v>
      </c>
      <c r="C61" s="2" t="s">
        <v>73</v>
      </c>
      <c r="D61" s="2" t="s">
        <v>74</v>
      </c>
      <c r="E61" s="2" t="s">
        <v>75</v>
      </c>
      <c r="F61" s="2">
        <v>46123</v>
      </c>
      <c r="G61" s="2">
        <v>923</v>
      </c>
      <c r="H61" s="2">
        <v>590.29999999999995</v>
      </c>
      <c r="I61" s="2">
        <v>24</v>
      </c>
      <c r="J61" s="2">
        <v>1200</v>
      </c>
      <c r="K61" s="2">
        <v>0.02</v>
      </c>
      <c r="L61" s="2">
        <v>0.64</v>
      </c>
      <c r="M61" s="2">
        <v>7</v>
      </c>
      <c r="N61" s="2">
        <v>0.45</v>
      </c>
    </row>
    <row r="62" spans="1:14" ht="15.75" customHeight="1" x14ac:dyDescent="0.2">
      <c r="A62" s="2" t="s">
        <v>46</v>
      </c>
      <c r="B62" s="2" t="s">
        <v>76</v>
      </c>
      <c r="C62" s="2" t="s">
        <v>77</v>
      </c>
      <c r="D62" s="2" t="s">
        <v>78</v>
      </c>
      <c r="E62" s="2" t="s">
        <v>79</v>
      </c>
      <c r="F62" s="2">
        <v>71567</v>
      </c>
      <c r="G62" s="2">
        <v>2412</v>
      </c>
      <c r="H62" s="2">
        <v>442.3</v>
      </c>
      <c r="I62" s="2">
        <v>70</v>
      </c>
      <c r="J62" s="2">
        <v>3500</v>
      </c>
      <c r="K62" s="2">
        <v>3.3700000000000001E-2</v>
      </c>
      <c r="L62" s="2">
        <v>0.18</v>
      </c>
      <c r="M62" s="2">
        <v>8</v>
      </c>
      <c r="N62" s="2">
        <v>0.68</v>
      </c>
    </row>
    <row r="63" spans="1:14" ht="15.75" customHeight="1" x14ac:dyDescent="0.2">
      <c r="A63" s="2" t="s">
        <v>46</v>
      </c>
      <c r="B63" s="2" t="s">
        <v>80</v>
      </c>
      <c r="C63" s="2" t="s">
        <v>81</v>
      </c>
      <c r="D63" s="2" t="s">
        <v>82</v>
      </c>
      <c r="E63" s="2" t="s">
        <v>21</v>
      </c>
      <c r="F63" s="2">
        <v>135234</v>
      </c>
      <c r="G63" s="2">
        <v>501</v>
      </c>
      <c r="H63" s="2">
        <v>133.6</v>
      </c>
      <c r="I63" s="2">
        <v>14</v>
      </c>
      <c r="J63" s="2">
        <v>700</v>
      </c>
      <c r="K63" s="2">
        <v>3.7000000000000002E-3</v>
      </c>
      <c r="L63" s="2">
        <v>0.27</v>
      </c>
      <c r="M63" s="2">
        <v>7</v>
      </c>
      <c r="N63" s="2">
        <v>0.35</v>
      </c>
    </row>
    <row r="64" spans="1:14" ht="15.75" customHeight="1" x14ac:dyDescent="0.2">
      <c r="A64" s="2" t="s">
        <v>47</v>
      </c>
      <c r="B64" s="2" t="s">
        <v>68</v>
      </c>
      <c r="C64" s="2" t="s">
        <v>69</v>
      </c>
      <c r="D64" s="2" t="s">
        <v>70</v>
      </c>
      <c r="E64" s="2" t="s">
        <v>71</v>
      </c>
      <c r="F64" s="2">
        <v>24567</v>
      </c>
      <c r="G64" s="2">
        <v>1289</v>
      </c>
      <c r="H64" s="2">
        <v>246.8</v>
      </c>
      <c r="I64" s="2">
        <v>48</v>
      </c>
      <c r="J64" s="2">
        <v>2400</v>
      </c>
      <c r="K64" s="2">
        <v>5.2499999999999998E-2</v>
      </c>
      <c r="L64" s="2">
        <v>0.19</v>
      </c>
      <c r="M64" s="2">
        <v>9</v>
      </c>
      <c r="N64" s="2">
        <v>0.91</v>
      </c>
    </row>
    <row r="65" spans="1:14" ht="15.75" customHeight="1" x14ac:dyDescent="0.2">
      <c r="A65" s="2" t="s">
        <v>47</v>
      </c>
      <c r="B65" s="2" t="s">
        <v>72</v>
      </c>
      <c r="C65" s="2" t="s">
        <v>73</v>
      </c>
      <c r="D65" s="2" t="s">
        <v>74</v>
      </c>
      <c r="E65" s="2" t="s">
        <v>75</v>
      </c>
      <c r="F65" s="2">
        <v>44890</v>
      </c>
      <c r="G65" s="2">
        <v>890</v>
      </c>
      <c r="H65" s="2">
        <v>574.70000000000005</v>
      </c>
      <c r="I65" s="2">
        <v>23</v>
      </c>
      <c r="J65" s="2">
        <v>1150</v>
      </c>
      <c r="K65" s="2">
        <v>1.9800000000000002E-2</v>
      </c>
      <c r="L65" s="2">
        <v>0.65</v>
      </c>
      <c r="M65" s="2">
        <v>7</v>
      </c>
      <c r="N65" s="2">
        <v>0.44</v>
      </c>
    </row>
    <row r="66" spans="1:14" ht="15.75" customHeight="1" x14ac:dyDescent="0.2">
      <c r="A66" s="2" t="s">
        <v>47</v>
      </c>
      <c r="B66" s="2" t="s">
        <v>76</v>
      </c>
      <c r="C66" s="2" t="s">
        <v>77</v>
      </c>
      <c r="D66" s="2" t="s">
        <v>78</v>
      </c>
      <c r="E66" s="2" t="s">
        <v>79</v>
      </c>
      <c r="F66" s="2">
        <v>69234</v>
      </c>
      <c r="G66" s="2">
        <v>2301</v>
      </c>
      <c r="H66" s="2">
        <v>423.5</v>
      </c>
      <c r="I66" s="2">
        <v>67</v>
      </c>
      <c r="J66" s="2">
        <v>3350</v>
      </c>
      <c r="K66" s="2">
        <v>3.32E-2</v>
      </c>
      <c r="L66" s="2">
        <v>0.18</v>
      </c>
      <c r="M66" s="2">
        <v>8</v>
      </c>
      <c r="N66" s="2">
        <v>0.67</v>
      </c>
    </row>
    <row r="67" spans="1:14" ht="15.75" customHeight="1" x14ac:dyDescent="0.2">
      <c r="A67" s="2" t="s">
        <v>47</v>
      </c>
      <c r="B67" s="2" t="s">
        <v>80</v>
      </c>
      <c r="C67" s="2" t="s">
        <v>81</v>
      </c>
      <c r="D67" s="2" t="s">
        <v>82</v>
      </c>
      <c r="E67" s="2" t="s">
        <v>21</v>
      </c>
      <c r="F67" s="2">
        <v>131567</v>
      </c>
      <c r="G67" s="2">
        <v>478</v>
      </c>
      <c r="H67" s="2">
        <v>129.4</v>
      </c>
      <c r="I67" s="2">
        <v>13</v>
      </c>
      <c r="J67" s="2">
        <v>650</v>
      </c>
      <c r="K67" s="2">
        <v>3.5999999999999999E-3</v>
      </c>
      <c r="L67" s="2">
        <v>0.27</v>
      </c>
      <c r="M67" s="2">
        <v>7</v>
      </c>
      <c r="N67" s="2">
        <v>0.34</v>
      </c>
    </row>
    <row r="68" spans="1:14" ht="15.75" customHeight="1" x14ac:dyDescent="0.2">
      <c r="A68" s="2" t="s">
        <v>48</v>
      </c>
      <c r="B68" s="2" t="s">
        <v>68</v>
      </c>
      <c r="C68" s="2" t="s">
        <v>69</v>
      </c>
      <c r="D68" s="2" t="s">
        <v>70</v>
      </c>
      <c r="E68" s="2" t="s">
        <v>71</v>
      </c>
      <c r="F68" s="2">
        <v>22345</v>
      </c>
      <c r="G68" s="2">
        <v>1123</v>
      </c>
      <c r="H68" s="2">
        <v>214.5</v>
      </c>
      <c r="I68" s="2">
        <v>42</v>
      </c>
      <c r="J68" s="2">
        <v>2100</v>
      </c>
      <c r="K68" s="2">
        <v>5.0299999999999997E-2</v>
      </c>
      <c r="L68" s="2">
        <v>0.19</v>
      </c>
      <c r="M68" s="2">
        <v>9</v>
      </c>
      <c r="N68" s="2">
        <v>0.89</v>
      </c>
    </row>
    <row r="69" spans="1:14" ht="15.75" customHeight="1" x14ac:dyDescent="0.2">
      <c r="A69" s="2" t="s">
        <v>48</v>
      </c>
      <c r="B69" s="2" t="s">
        <v>72</v>
      </c>
      <c r="C69" s="2" t="s">
        <v>73</v>
      </c>
      <c r="D69" s="2" t="s">
        <v>74</v>
      </c>
      <c r="E69" s="2" t="s">
        <v>75</v>
      </c>
      <c r="F69" s="2">
        <v>40567</v>
      </c>
      <c r="G69" s="2">
        <v>812</v>
      </c>
      <c r="H69" s="2">
        <v>520.4</v>
      </c>
      <c r="I69" s="2">
        <v>20</v>
      </c>
      <c r="J69" s="2">
        <v>1000</v>
      </c>
      <c r="K69" s="2">
        <v>0.02</v>
      </c>
      <c r="L69" s="2">
        <v>0.64</v>
      </c>
      <c r="M69" s="2">
        <v>6</v>
      </c>
      <c r="N69" s="2">
        <v>0.42</v>
      </c>
    </row>
    <row r="70" spans="1:14" ht="15.75" customHeight="1" x14ac:dyDescent="0.2">
      <c r="A70" s="2" t="s">
        <v>48</v>
      </c>
      <c r="B70" s="2" t="s">
        <v>76</v>
      </c>
      <c r="C70" s="2" t="s">
        <v>77</v>
      </c>
      <c r="D70" s="2" t="s">
        <v>78</v>
      </c>
      <c r="E70" s="2" t="s">
        <v>79</v>
      </c>
      <c r="F70" s="2">
        <v>64890</v>
      </c>
      <c r="G70" s="2">
        <v>2067</v>
      </c>
      <c r="H70" s="2">
        <v>376.8</v>
      </c>
      <c r="I70" s="2">
        <v>59</v>
      </c>
      <c r="J70" s="2">
        <v>2950</v>
      </c>
      <c r="K70" s="2">
        <v>3.1899999999999998E-2</v>
      </c>
      <c r="L70" s="2">
        <v>0.18</v>
      </c>
      <c r="M70" s="2">
        <v>8</v>
      </c>
      <c r="N70" s="2">
        <v>0.65</v>
      </c>
    </row>
    <row r="71" spans="1:14" ht="15.75" customHeight="1" x14ac:dyDescent="0.2">
      <c r="A71" s="2" t="s">
        <v>48</v>
      </c>
      <c r="B71" s="2" t="s">
        <v>80</v>
      </c>
      <c r="C71" s="2" t="s">
        <v>81</v>
      </c>
      <c r="D71" s="2" t="s">
        <v>82</v>
      </c>
      <c r="E71" s="2" t="s">
        <v>21</v>
      </c>
      <c r="F71" s="2">
        <v>124567</v>
      </c>
      <c r="G71" s="2">
        <v>445</v>
      </c>
      <c r="H71" s="2">
        <v>122.3</v>
      </c>
      <c r="I71" s="2">
        <v>12</v>
      </c>
      <c r="J71" s="2">
        <v>600</v>
      </c>
      <c r="K71" s="2">
        <v>3.5999999999999999E-3</v>
      </c>
      <c r="L71" s="2">
        <v>0.27</v>
      </c>
      <c r="M71" s="2">
        <v>7</v>
      </c>
      <c r="N71" s="2">
        <v>0.33</v>
      </c>
    </row>
    <row r="72" spans="1:14" ht="15.75" customHeight="1" x14ac:dyDescent="0.2">
      <c r="A72" s="2" t="s">
        <v>49</v>
      </c>
      <c r="B72" s="2" t="s">
        <v>68</v>
      </c>
      <c r="C72" s="2" t="s">
        <v>69</v>
      </c>
      <c r="D72" s="2" t="s">
        <v>70</v>
      </c>
      <c r="E72" s="2" t="s">
        <v>71</v>
      </c>
      <c r="F72" s="2">
        <v>21567</v>
      </c>
      <c r="G72" s="2">
        <v>1089</v>
      </c>
      <c r="H72" s="2">
        <v>207.8</v>
      </c>
      <c r="I72" s="2">
        <v>41</v>
      </c>
      <c r="J72" s="2">
        <v>2050</v>
      </c>
      <c r="K72" s="2">
        <v>5.0500000000000003E-2</v>
      </c>
      <c r="L72" s="2">
        <v>0.19</v>
      </c>
      <c r="M72" s="2">
        <v>9</v>
      </c>
      <c r="N72" s="2">
        <v>0.88</v>
      </c>
    </row>
    <row r="73" spans="1:14" ht="15.75" customHeight="1" x14ac:dyDescent="0.2">
      <c r="A73" s="2" t="s">
        <v>49</v>
      </c>
      <c r="B73" s="2" t="s">
        <v>72</v>
      </c>
      <c r="C73" s="2" t="s">
        <v>73</v>
      </c>
      <c r="D73" s="2" t="s">
        <v>74</v>
      </c>
      <c r="E73" s="2" t="s">
        <v>75</v>
      </c>
      <c r="F73" s="2">
        <v>38901</v>
      </c>
      <c r="G73" s="2">
        <v>778</v>
      </c>
      <c r="H73" s="2">
        <v>498.7</v>
      </c>
      <c r="I73" s="2">
        <v>19</v>
      </c>
      <c r="J73" s="2">
        <v>950</v>
      </c>
      <c r="K73" s="2">
        <v>0.02</v>
      </c>
      <c r="L73" s="2">
        <v>0.64</v>
      </c>
      <c r="M73" s="2">
        <v>6</v>
      </c>
      <c r="N73" s="2">
        <v>0.41</v>
      </c>
    </row>
    <row r="74" spans="1:14" ht="15.75" customHeight="1" x14ac:dyDescent="0.2">
      <c r="A74" s="2" t="s">
        <v>49</v>
      </c>
      <c r="B74" s="2" t="s">
        <v>76</v>
      </c>
      <c r="C74" s="2" t="s">
        <v>77</v>
      </c>
      <c r="D74" s="2" t="s">
        <v>78</v>
      </c>
      <c r="E74" s="2" t="s">
        <v>79</v>
      </c>
      <c r="F74" s="2">
        <v>62345</v>
      </c>
      <c r="G74" s="2">
        <v>1989</v>
      </c>
      <c r="H74" s="2">
        <v>365.4</v>
      </c>
      <c r="I74" s="2">
        <v>57</v>
      </c>
      <c r="J74" s="2">
        <v>2850</v>
      </c>
      <c r="K74" s="2">
        <v>3.1899999999999998E-2</v>
      </c>
      <c r="L74" s="2">
        <v>0.18</v>
      </c>
      <c r="M74" s="2">
        <v>8</v>
      </c>
      <c r="N74" s="2">
        <v>0.63</v>
      </c>
    </row>
    <row r="75" spans="1:14" ht="15.75" customHeight="1" x14ac:dyDescent="0.2">
      <c r="A75" s="2" t="s">
        <v>49</v>
      </c>
      <c r="B75" s="2" t="s">
        <v>80</v>
      </c>
      <c r="C75" s="2" t="s">
        <v>81</v>
      </c>
      <c r="D75" s="2" t="s">
        <v>82</v>
      </c>
      <c r="E75" s="2" t="s">
        <v>21</v>
      </c>
      <c r="F75" s="2">
        <v>118234</v>
      </c>
      <c r="G75" s="2">
        <v>423</v>
      </c>
      <c r="H75" s="2">
        <v>116.2</v>
      </c>
      <c r="I75" s="2">
        <v>11</v>
      </c>
      <c r="J75" s="2">
        <v>550</v>
      </c>
      <c r="K75" s="2">
        <v>3.5999999999999999E-3</v>
      </c>
      <c r="L75" s="2">
        <v>0.27</v>
      </c>
      <c r="M75" s="2">
        <v>7</v>
      </c>
      <c r="N75" s="2">
        <v>0.32</v>
      </c>
    </row>
    <row r="76" spans="1:14" ht="15.75" customHeight="1" x14ac:dyDescent="0.2">
      <c r="A76" s="2" t="s">
        <v>50</v>
      </c>
      <c r="B76" s="2" t="s">
        <v>68</v>
      </c>
      <c r="C76" s="2" t="s">
        <v>69</v>
      </c>
      <c r="D76" s="2" t="s">
        <v>70</v>
      </c>
      <c r="E76" s="2" t="s">
        <v>71</v>
      </c>
      <c r="F76" s="2">
        <v>24234</v>
      </c>
      <c r="G76" s="2">
        <v>1267</v>
      </c>
      <c r="H76" s="2">
        <v>241.2</v>
      </c>
      <c r="I76" s="2">
        <v>47</v>
      </c>
      <c r="J76" s="2">
        <v>2350</v>
      </c>
      <c r="K76" s="2">
        <v>5.2299999999999999E-2</v>
      </c>
      <c r="L76" s="2">
        <v>0.19</v>
      </c>
      <c r="M76" s="2">
        <v>9</v>
      </c>
      <c r="N76" s="2">
        <v>0.91</v>
      </c>
    </row>
    <row r="77" spans="1:14" ht="15.75" customHeight="1" x14ac:dyDescent="0.2">
      <c r="A77" s="2" t="s">
        <v>50</v>
      </c>
      <c r="B77" s="2" t="s">
        <v>72</v>
      </c>
      <c r="C77" s="2" t="s">
        <v>73</v>
      </c>
      <c r="D77" s="2" t="s">
        <v>74</v>
      </c>
      <c r="E77" s="2" t="s">
        <v>75</v>
      </c>
      <c r="F77" s="2">
        <v>42890</v>
      </c>
      <c r="G77" s="2">
        <v>845</v>
      </c>
      <c r="H77" s="2">
        <v>549.29999999999995</v>
      </c>
      <c r="I77" s="2">
        <v>22</v>
      </c>
      <c r="J77" s="2">
        <v>1100</v>
      </c>
      <c r="K77" s="2">
        <v>1.9699999999999999E-2</v>
      </c>
      <c r="L77" s="2">
        <v>0.65</v>
      </c>
      <c r="M77" s="2">
        <v>7</v>
      </c>
      <c r="N77" s="2">
        <v>0.44</v>
      </c>
    </row>
    <row r="78" spans="1:14" ht="15.75" customHeight="1" x14ac:dyDescent="0.2">
      <c r="A78" s="2" t="s">
        <v>50</v>
      </c>
      <c r="B78" s="2" t="s">
        <v>76</v>
      </c>
      <c r="C78" s="2" t="s">
        <v>77</v>
      </c>
      <c r="D78" s="2" t="s">
        <v>78</v>
      </c>
      <c r="E78" s="2" t="s">
        <v>79</v>
      </c>
      <c r="F78" s="2">
        <v>66789</v>
      </c>
      <c r="G78" s="2">
        <v>2223</v>
      </c>
      <c r="H78" s="2">
        <v>407.9</v>
      </c>
      <c r="I78" s="2">
        <v>64</v>
      </c>
      <c r="J78" s="2">
        <v>3200</v>
      </c>
      <c r="K78" s="2">
        <v>3.3300000000000003E-2</v>
      </c>
      <c r="L78" s="2">
        <v>0.18</v>
      </c>
      <c r="M78" s="2">
        <v>8</v>
      </c>
      <c r="N78" s="2">
        <v>0.66</v>
      </c>
    </row>
    <row r="79" spans="1:14" ht="15.75" customHeight="1" x14ac:dyDescent="0.2">
      <c r="A79" s="2" t="s">
        <v>50</v>
      </c>
      <c r="B79" s="2" t="s">
        <v>80</v>
      </c>
      <c r="C79" s="2" t="s">
        <v>81</v>
      </c>
      <c r="D79" s="2" t="s">
        <v>82</v>
      </c>
      <c r="E79" s="2" t="s">
        <v>21</v>
      </c>
      <c r="F79" s="2">
        <v>127890</v>
      </c>
      <c r="G79" s="2">
        <v>456</v>
      </c>
      <c r="H79" s="2">
        <v>125.6</v>
      </c>
      <c r="I79" s="2">
        <v>13</v>
      </c>
      <c r="J79" s="2">
        <v>650</v>
      </c>
      <c r="K79" s="2">
        <v>3.5999999999999999E-3</v>
      </c>
      <c r="L79" s="2">
        <v>0.28000000000000003</v>
      </c>
      <c r="M79" s="2">
        <v>7</v>
      </c>
      <c r="N79" s="2">
        <v>0.34</v>
      </c>
    </row>
    <row r="80" spans="1:14" ht="15.75" customHeight="1" x14ac:dyDescent="0.2">
      <c r="A80" s="2" t="s">
        <v>51</v>
      </c>
      <c r="B80" s="2" t="s">
        <v>68</v>
      </c>
      <c r="C80" s="2" t="s">
        <v>69</v>
      </c>
      <c r="D80" s="2" t="s">
        <v>70</v>
      </c>
      <c r="E80" s="2" t="s">
        <v>71</v>
      </c>
      <c r="F80" s="2">
        <v>25678</v>
      </c>
      <c r="G80" s="2">
        <v>1356</v>
      </c>
      <c r="H80" s="2">
        <v>259.39999999999998</v>
      </c>
      <c r="I80" s="2">
        <v>51</v>
      </c>
      <c r="J80" s="2">
        <v>2550</v>
      </c>
      <c r="K80" s="2">
        <v>5.28E-2</v>
      </c>
      <c r="L80" s="2">
        <v>0.19</v>
      </c>
      <c r="M80" s="2">
        <v>9</v>
      </c>
      <c r="N80" s="2">
        <v>0.92</v>
      </c>
    </row>
    <row r="81" spans="1:14" ht="15.75" customHeight="1" x14ac:dyDescent="0.2">
      <c r="A81" s="2" t="s">
        <v>51</v>
      </c>
      <c r="B81" s="2" t="s">
        <v>72</v>
      </c>
      <c r="C81" s="2" t="s">
        <v>73</v>
      </c>
      <c r="D81" s="2" t="s">
        <v>74</v>
      </c>
      <c r="E81" s="2" t="s">
        <v>75</v>
      </c>
      <c r="F81" s="2">
        <v>45123</v>
      </c>
      <c r="G81" s="2">
        <v>912</v>
      </c>
      <c r="H81" s="2">
        <v>577.79999999999995</v>
      </c>
      <c r="I81" s="2">
        <v>24</v>
      </c>
      <c r="J81" s="2">
        <v>1200</v>
      </c>
      <c r="K81" s="2">
        <v>2.0199999999999999E-2</v>
      </c>
      <c r="L81" s="2">
        <v>0.63</v>
      </c>
      <c r="M81" s="2">
        <v>7</v>
      </c>
      <c r="N81" s="2">
        <v>0.45</v>
      </c>
    </row>
    <row r="82" spans="1:14" ht="15.75" customHeight="1" x14ac:dyDescent="0.2">
      <c r="A82" s="2" t="s">
        <v>51</v>
      </c>
      <c r="B82" s="2" t="s">
        <v>76</v>
      </c>
      <c r="C82" s="2" t="s">
        <v>77</v>
      </c>
      <c r="D82" s="2" t="s">
        <v>78</v>
      </c>
      <c r="E82" s="2" t="s">
        <v>79</v>
      </c>
      <c r="F82" s="2">
        <v>70234</v>
      </c>
      <c r="G82" s="2">
        <v>2389</v>
      </c>
      <c r="H82" s="2">
        <v>432.6</v>
      </c>
      <c r="I82" s="2">
        <v>69</v>
      </c>
      <c r="J82" s="2">
        <v>3450</v>
      </c>
      <c r="K82" s="2">
        <v>3.4000000000000002E-2</v>
      </c>
      <c r="L82" s="2">
        <v>0.18</v>
      </c>
      <c r="M82" s="2">
        <v>8</v>
      </c>
      <c r="N82" s="2">
        <v>0.67</v>
      </c>
    </row>
    <row r="83" spans="1:14" ht="15.75" customHeight="1" x14ac:dyDescent="0.2">
      <c r="A83" s="2" t="s">
        <v>51</v>
      </c>
      <c r="B83" s="2" t="s">
        <v>80</v>
      </c>
      <c r="C83" s="2" t="s">
        <v>81</v>
      </c>
      <c r="D83" s="2" t="s">
        <v>82</v>
      </c>
      <c r="E83" s="2" t="s">
        <v>21</v>
      </c>
      <c r="F83" s="2">
        <v>133456</v>
      </c>
      <c r="G83" s="2">
        <v>489</v>
      </c>
      <c r="H83" s="2">
        <v>131.19999999999999</v>
      </c>
      <c r="I83" s="2">
        <v>14</v>
      </c>
      <c r="J83" s="2">
        <v>700</v>
      </c>
      <c r="K83" s="2">
        <v>3.7000000000000002E-3</v>
      </c>
      <c r="L83" s="2">
        <v>0.27</v>
      </c>
      <c r="M83" s="2">
        <v>7</v>
      </c>
      <c r="N83" s="2">
        <v>0.35</v>
      </c>
    </row>
    <row r="84" spans="1:14" ht="15.75" customHeight="1" x14ac:dyDescent="0.2">
      <c r="A84" s="2" t="s">
        <v>52</v>
      </c>
      <c r="B84" s="2" t="s">
        <v>68</v>
      </c>
      <c r="C84" s="2" t="s">
        <v>69</v>
      </c>
      <c r="D84" s="2" t="s">
        <v>70</v>
      </c>
      <c r="E84" s="2" t="s">
        <v>71</v>
      </c>
      <c r="F84" s="2">
        <v>27123</v>
      </c>
      <c r="G84" s="2">
        <v>1434</v>
      </c>
      <c r="H84" s="2">
        <v>274.3</v>
      </c>
      <c r="I84" s="2">
        <v>55</v>
      </c>
      <c r="J84" s="2">
        <v>2750</v>
      </c>
      <c r="K84" s="2">
        <v>5.2900000000000003E-2</v>
      </c>
      <c r="L84" s="2">
        <v>0.19</v>
      </c>
      <c r="M84" s="2">
        <v>9</v>
      </c>
      <c r="N84" s="2">
        <v>0.93</v>
      </c>
    </row>
    <row r="85" spans="1:14" ht="15.75" customHeight="1" x14ac:dyDescent="0.2">
      <c r="A85" s="2" t="s">
        <v>52</v>
      </c>
      <c r="B85" s="2" t="s">
        <v>72</v>
      </c>
      <c r="C85" s="2" t="s">
        <v>73</v>
      </c>
      <c r="D85" s="2" t="s">
        <v>74</v>
      </c>
      <c r="E85" s="2" t="s">
        <v>75</v>
      </c>
      <c r="F85" s="2">
        <v>47890</v>
      </c>
      <c r="G85" s="2">
        <v>978</v>
      </c>
      <c r="H85" s="2">
        <v>613.5</v>
      </c>
      <c r="I85" s="2">
        <v>26</v>
      </c>
      <c r="J85" s="2">
        <v>1300</v>
      </c>
      <c r="K85" s="2">
        <v>2.0400000000000001E-2</v>
      </c>
      <c r="L85" s="2">
        <v>0.63</v>
      </c>
      <c r="M85" s="2">
        <v>7</v>
      </c>
      <c r="N85" s="2">
        <v>0.46</v>
      </c>
    </row>
    <row r="86" spans="1:14" ht="15.75" customHeight="1" x14ac:dyDescent="0.2">
      <c r="A86" s="2" t="s">
        <v>52</v>
      </c>
      <c r="B86" s="2" t="s">
        <v>76</v>
      </c>
      <c r="C86" s="2" t="s">
        <v>77</v>
      </c>
      <c r="D86" s="2" t="s">
        <v>78</v>
      </c>
      <c r="E86" s="2" t="s">
        <v>79</v>
      </c>
      <c r="F86" s="2">
        <v>73456</v>
      </c>
      <c r="G86" s="2">
        <v>2501</v>
      </c>
      <c r="H86" s="2">
        <v>456.7</v>
      </c>
      <c r="I86" s="2">
        <v>73</v>
      </c>
      <c r="J86" s="2">
        <v>3650</v>
      </c>
      <c r="K86" s="2">
        <v>3.4000000000000002E-2</v>
      </c>
      <c r="L86" s="2">
        <v>0.18</v>
      </c>
      <c r="M86" s="2">
        <v>8</v>
      </c>
      <c r="N86" s="2">
        <v>0.69</v>
      </c>
    </row>
    <row r="87" spans="1:14" ht="15.75" customHeight="1" x14ac:dyDescent="0.2">
      <c r="A87" s="2" t="s">
        <v>52</v>
      </c>
      <c r="B87" s="2" t="s">
        <v>80</v>
      </c>
      <c r="C87" s="2" t="s">
        <v>81</v>
      </c>
      <c r="D87" s="2" t="s">
        <v>82</v>
      </c>
      <c r="E87" s="2" t="s">
        <v>21</v>
      </c>
      <c r="F87" s="2">
        <v>139234</v>
      </c>
      <c r="G87" s="2">
        <v>523</v>
      </c>
      <c r="H87" s="2">
        <v>136.80000000000001</v>
      </c>
      <c r="I87" s="2">
        <v>15</v>
      </c>
      <c r="J87" s="2">
        <v>750</v>
      </c>
      <c r="K87" s="2">
        <v>3.8E-3</v>
      </c>
      <c r="L87" s="2">
        <v>0.26</v>
      </c>
      <c r="M87" s="2">
        <v>7</v>
      </c>
      <c r="N87" s="2">
        <v>0.36</v>
      </c>
    </row>
    <row r="88" spans="1:14" ht="15.75" customHeight="1" x14ac:dyDescent="0.2">
      <c r="A88" s="2" t="s">
        <v>53</v>
      </c>
      <c r="B88" s="2" t="s">
        <v>68</v>
      </c>
      <c r="C88" s="2" t="s">
        <v>69</v>
      </c>
      <c r="D88" s="2" t="s">
        <v>70</v>
      </c>
      <c r="E88" s="2" t="s">
        <v>71</v>
      </c>
      <c r="F88" s="2">
        <v>28234</v>
      </c>
      <c r="G88" s="2">
        <v>1512</v>
      </c>
      <c r="H88" s="2">
        <v>287.60000000000002</v>
      </c>
      <c r="I88" s="2">
        <v>58</v>
      </c>
      <c r="J88" s="2">
        <v>2900</v>
      </c>
      <c r="K88" s="2">
        <v>5.3499999999999999E-2</v>
      </c>
      <c r="L88" s="2">
        <v>0.19</v>
      </c>
      <c r="M88" s="2">
        <v>9</v>
      </c>
      <c r="N88" s="2">
        <v>0.94</v>
      </c>
    </row>
    <row r="89" spans="1:14" ht="15.75" customHeight="1" x14ac:dyDescent="0.2">
      <c r="A89" s="2" t="s">
        <v>53</v>
      </c>
      <c r="B89" s="2" t="s">
        <v>72</v>
      </c>
      <c r="C89" s="2" t="s">
        <v>73</v>
      </c>
      <c r="D89" s="2" t="s">
        <v>74</v>
      </c>
      <c r="E89" s="2" t="s">
        <v>75</v>
      </c>
      <c r="F89" s="2">
        <v>49567</v>
      </c>
      <c r="G89" s="2">
        <v>1012</v>
      </c>
      <c r="H89" s="2">
        <v>634.20000000000005</v>
      </c>
      <c r="I89" s="2">
        <v>27</v>
      </c>
      <c r="J89" s="2">
        <v>1350</v>
      </c>
      <c r="K89" s="2">
        <v>2.0400000000000001E-2</v>
      </c>
      <c r="L89" s="2">
        <v>0.63</v>
      </c>
      <c r="M89" s="2">
        <v>7</v>
      </c>
      <c r="N89" s="2">
        <v>0.47</v>
      </c>
    </row>
    <row r="90" spans="1:14" ht="15.75" customHeight="1" x14ac:dyDescent="0.2">
      <c r="A90" s="2" t="s">
        <v>53</v>
      </c>
      <c r="B90" s="2" t="s">
        <v>76</v>
      </c>
      <c r="C90" s="2" t="s">
        <v>77</v>
      </c>
      <c r="D90" s="2" t="s">
        <v>78</v>
      </c>
      <c r="E90" s="2" t="s">
        <v>79</v>
      </c>
      <c r="F90" s="2">
        <v>75234</v>
      </c>
      <c r="G90" s="2">
        <v>2567</v>
      </c>
      <c r="H90" s="2">
        <v>467.8</v>
      </c>
      <c r="I90" s="2">
        <v>75</v>
      </c>
      <c r="J90" s="2">
        <v>3750</v>
      </c>
      <c r="K90" s="2">
        <v>3.4099999999999998E-2</v>
      </c>
      <c r="L90" s="2">
        <v>0.18</v>
      </c>
      <c r="M90" s="2">
        <v>8</v>
      </c>
      <c r="N90" s="2">
        <v>0.7</v>
      </c>
    </row>
    <row r="91" spans="1:14" ht="15.75" customHeight="1" x14ac:dyDescent="0.2">
      <c r="A91" s="2" t="s">
        <v>53</v>
      </c>
      <c r="B91" s="2" t="s">
        <v>80</v>
      </c>
      <c r="C91" s="2" t="s">
        <v>81</v>
      </c>
      <c r="D91" s="2" t="s">
        <v>82</v>
      </c>
      <c r="E91" s="2" t="s">
        <v>21</v>
      </c>
      <c r="F91" s="2">
        <v>142345</v>
      </c>
      <c r="G91" s="2">
        <v>545</v>
      </c>
      <c r="H91" s="2">
        <v>139.9</v>
      </c>
      <c r="I91" s="2">
        <v>16</v>
      </c>
      <c r="J91" s="2">
        <v>800</v>
      </c>
      <c r="K91" s="2">
        <v>3.8E-3</v>
      </c>
      <c r="L91" s="2">
        <v>0.26</v>
      </c>
      <c r="M91" s="2">
        <v>7</v>
      </c>
      <c r="N91" s="2">
        <v>0.37</v>
      </c>
    </row>
    <row r="92" spans="1:14" ht="15.75" customHeight="1" x14ac:dyDescent="0.2">
      <c r="A92" s="2" t="s">
        <v>54</v>
      </c>
      <c r="B92" s="2" t="s">
        <v>68</v>
      </c>
      <c r="C92" s="2" t="s">
        <v>69</v>
      </c>
      <c r="D92" s="2" t="s">
        <v>70</v>
      </c>
      <c r="E92" s="2" t="s">
        <v>71</v>
      </c>
      <c r="F92" s="2">
        <v>26789</v>
      </c>
      <c r="G92" s="2">
        <v>1378</v>
      </c>
      <c r="H92" s="2">
        <v>263.39999999999998</v>
      </c>
      <c r="I92" s="2">
        <v>53</v>
      </c>
      <c r="J92" s="2">
        <v>2650</v>
      </c>
      <c r="K92" s="2">
        <v>5.1499999999999997E-2</v>
      </c>
      <c r="L92" s="2">
        <v>0.19</v>
      </c>
      <c r="M92" s="2">
        <v>9</v>
      </c>
      <c r="N92" s="2">
        <v>0.92</v>
      </c>
    </row>
    <row r="93" spans="1:14" ht="15.75" customHeight="1" x14ac:dyDescent="0.2">
      <c r="A93" s="2" t="s">
        <v>54</v>
      </c>
      <c r="B93" s="2" t="s">
        <v>72</v>
      </c>
      <c r="C93" s="2" t="s">
        <v>73</v>
      </c>
      <c r="D93" s="2" t="s">
        <v>74</v>
      </c>
      <c r="E93" s="2" t="s">
        <v>75</v>
      </c>
      <c r="F93" s="2">
        <v>47234</v>
      </c>
      <c r="G93" s="2">
        <v>945</v>
      </c>
      <c r="H93" s="2">
        <v>605.6</v>
      </c>
      <c r="I93" s="2">
        <v>25</v>
      </c>
      <c r="J93" s="2">
        <v>1250</v>
      </c>
      <c r="K93" s="2">
        <v>0.02</v>
      </c>
      <c r="L93" s="2">
        <v>0.64</v>
      </c>
      <c r="M93" s="2">
        <v>7</v>
      </c>
      <c r="N93" s="2">
        <v>0.46</v>
      </c>
    </row>
    <row r="94" spans="1:14" ht="15.75" customHeight="1" x14ac:dyDescent="0.2">
      <c r="A94" s="2" t="s">
        <v>54</v>
      </c>
      <c r="B94" s="2" t="s">
        <v>76</v>
      </c>
      <c r="C94" s="2" t="s">
        <v>77</v>
      </c>
      <c r="D94" s="2" t="s">
        <v>78</v>
      </c>
      <c r="E94" s="2" t="s">
        <v>79</v>
      </c>
      <c r="F94" s="2">
        <v>72890</v>
      </c>
      <c r="G94" s="2">
        <v>2434</v>
      </c>
      <c r="H94" s="2">
        <v>450.2</v>
      </c>
      <c r="I94" s="2">
        <v>71</v>
      </c>
      <c r="J94" s="2">
        <v>3550</v>
      </c>
      <c r="K94" s="2">
        <v>3.3399999999999999E-2</v>
      </c>
      <c r="L94" s="2">
        <v>0.18</v>
      </c>
      <c r="M94" s="2">
        <v>8</v>
      </c>
      <c r="N94" s="2">
        <v>0.69</v>
      </c>
    </row>
    <row r="95" spans="1:14" ht="15.75" customHeight="1" x14ac:dyDescent="0.2">
      <c r="A95" s="2" t="s">
        <v>54</v>
      </c>
      <c r="B95" s="2" t="s">
        <v>80</v>
      </c>
      <c r="C95" s="2" t="s">
        <v>81</v>
      </c>
      <c r="D95" s="2" t="s">
        <v>82</v>
      </c>
      <c r="E95" s="2" t="s">
        <v>21</v>
      </c>
      <c r="F95" s="2">
        <v>138567</v>
      </c>
      <c r="G95" s="2">
        <v>512</v>
      </c>
      <c r="H95" s="2">
        <v>136.19999999999999</v>
      </c>
      <c r="I95" s="2">
        <v>15</v>
      </c>
      <c r="J95" s="2">
        <v>750</v>
      </c>
      <c r="K95" s="2">
        <v>3.7000000000000002E-3</v>
      </c>
      <c r="L95" s="2">
        <v>0.27</v>
      </c>
      <c r="M95" s="2">
        <v>7</v>
      </c>
      <c r="N95" s="2">
        <v>0.36</v>
      </c>
    </row>
    <row r="96" spans="1:14" ht="15.75" customHeight="1" x14ac:dyDescent="0.2">
      <c r="A96" s="2" t="s">
        <v>55</v>
      </c>
      <c r="B96" s="2" t="s">
        <v>68</v>
      </c>
      <c r="C96" s="2" t="s">
        <v>69</v>
      </c>
      <c r="D96" s="2" t="s">
        <v>70</v>
      </c>
      <c r="E96" s="2" t="s">
        <v>71</v>
      </c>
      <c r="F96" s="2">
        <v>25234</v>
      </c>
      <c r="G96" s="2">
        <v>1312</v>
      </c>
      <c r="H96" s="2">
        <v>250.3</v>
      </c>
      <c r="I96" s="2">
        <v>49</v>
      </c>
      <c r="J96" s="2">
        <v>2450</v>
      </c>
      <c r="K96" s="2">
        <v>5.1999999999999998E-2</v>
      </c>
      <c r="L96" s="2">
        <v>0.19</v>
      </c>
      <c r="M96" s="2">
        <v>9</v>
      </c>
      <c r="N96" s="2">
        <v>0.91</v>
      </c>
    </row>
    <row r="97" spans="1:14" ht="15.75" customHeight="1" x14ac:dyDescent="0.2">
      <c r="A97" s="2" t="s">
        <v>55</v>
      </c>
      <c r="B97" s="2" t="s">
        <v>72</v>
      </c>
      <c r="C97" s="2" t="s">
        <v>73</v>
      </c>
      <c r="D97" s="2" t="s">
        <v>74</v>
      </c>
      <c r="E97" s="2" t="s">
        <v>75</v>
      </c>
      <c r="F97" s="2">
        <v>45678</v>
      </c>
      <c r="G97" s="2">
        <v>901</v>
      </c>
      <c r="H97" s="2">
        <v>584.5</v>
      </c>
      <c r="I97" s="2">
        <v>24</v>
      </c>
      <c r="J97" s="2">
        <v>1200</v>
      </c>
      <c r="K97" s="2">
        <v>1.9699999999999999E-2</v>
      </c>
      <c r="L97" s="2">
        <v>0.65</v>
      </c>
      <c r="M97" s="2">
        <v>7</v>
      </c>
      <c r="N97" s="2">
        <v>0.45</v>
      </c>
    </row>
    <row r="98" spans="1:14" ht="15.75" customHeight="1" x14ac:dyDescent="0.2">
      <c r="A98" s="2" t="s">
        <v>55</v>
      </c>
      <c r="B98" s="2" t="s">
        <v>76</v>
      </c>
      <c r="C98" s="2" t="s">
        <v>77</v>
      </c>
      <c r="D98" s="2" t="s">
        <v>78</v>
      </c>
      <c r="E98" s="2" t="s">
        <v>79</v>
      </c>
      <c r="F98" s="2">
        <v>70123</v>
      </c>
      <c r="G98" s="2">
        <v>2356</v>
      </c>
      <c r="H98" s="2">
        <v>431.2</v>
      </c>
      <c r="I98" s="2">
        <v>68</v>
      </c>
      <c r="J98" s="2">
        <v>3400</v>
      </c>
      <c r="K98" s="2">
        <v>3.3599999999999998E-2</v>
      </c>
      <c r="L98" s="2">
        <v>0.18</v>
      </c>
      <c r="M98" s="2">
        <v>8</v>
      </c>
      <c r="N98" s="2">
        <v>0.68</v>
      </c>
    </row>
    <row r="99" spans="1:14" ht="15.75" customHeight="1" x14ac:dyDescent="0.2">
      <c r="A99" s="2" t="s">
        <v>55</v>
      </c>
      <c r="B99" s="2" t="s">
        <v>80</v>
      </c>
      <c r="C99" s="2" t="s">
        <v>81</v>
      </c>
      <c r="D99" s="2" t="s">
        <v>82</v>
      </c>
      <c r="E99" s="2" t="s">
        <v>21</v>
      </c>
      <c r="F99" s="2">
        <v>134890</v>
      </c>
      <c r="G99" s="2">
        <v>489</v>
      </c>
      <c r="H99" s="2">
        <v>132.69999999999999</v>
      </c>
      <c r="I99" s="2">
        <v>14</v>
      </c>
      <c r="J99" s="2">
        <v>700</v>
      </c>
      <c r="K99" s="2">
        <v>3.5999999999999999E-3</v>
      </c>
      <c r="L99" s="2">
        <v>0.27</v>
      </c>
      <c r="M99" s="2">
        <v>7</v>
      </c>
      <c r="N99" s="2">
        <v>0.35</v>
      </c>
    </row>
    <row r="100" spans="1:14" ht="15.75" customHeight="1" x14ac:dyDescent="0.2">
      <c r="A100" s="2" t="s">
        <v>56</v>
      </c>
      <c r="B100" s="2" t="s">
        <v>68</v>
      </c>
      <c r="C100" s="2" t="s">
        <v>69</v>
      </c>
      <c r="D100" s="2" t="s">
        <v>70</v>
      </c>
      <c r="E100" s="2" t="s">
        <v>71</v>
      </c>
      <c r="F100" s="2">
        <v>23567</v>
      </c>
      <c r="G100" s="2">
        <v>1189</v>
      </c>
      <c r="H100" s="2">
        <v>226.8</v>
      </c>
      <c r="I100" s="2">
        <v>44</v>
      </c>
      <c r="J100" s="2">
        <v>2200</v>
      </c>
      <c r="K100" s="2">
        <v>5.0500000000000003E-2</v>
      </c>
      <c r="L100" s="2">
        <v>0.19</v>
      </c>
      <c r="M100" s="2">
        <v>9</v>
      </c>
      <c r="N100" s="2">
        <v>0.9</v>
      </c>
    </row>
    <row r="101" spans="1:14" ht="15.75" customHeight="1" x14ac:dyDescent="0.2">
      <c r="A101" s="2" t="s">
        <v>56</v>
      </c>
      <c r="B101" s="2" t="s">
        <v>72</v>
      </c>
      <c r="C101" s="2" t="s">
        <v>73</v>
      </c>
      <c r="D101" s="2" t="s">
        <v>74</v>
      </c>
      <c r="E101" s="2" t="s">
        <v>75</v>
      </c>
      <c r="F101" s="2">
        <v>42890</v>
      </c>
      <c r="G101" s="2">
        <v>834</v>
      </c>
      <c r="H101" s="2">
        <v>549.29999999999995</v>
      </c>
      <c r="I101" s="2">
        <v>21</v>
      </c>
      <c r="J101" s="2">
        <v>1050</v>
      </c>
      <c r="K101" s="2">
        <v>1.95E-2</v>
      </c>
      <c r="L101" s="2">
        <v>0.66</v>
      </c>
      <c r="M101" s="2">
        <v>7</v>
      </c>
      <c r="N101" s="2">
        <v>0.43</v>
      </c>
    </row>
    <row r="102" spans="1:14" ht="15.75" customHeight="1" x14ac:dyDescent="0.2">
      <c r="A102" s="2" t="s">
        <v>56</v>
      </c>
      <c r="B102" s="2" t="s">
        <v>76</v>
      </c>
      <c r="C102" s="2" t="s">
        <v>77</v>
      </c>
      <c r="D102" s="2" t="s">
        <v>78</v>
      </c>
      <c r="E102" s="2" t="s">
        <v>79</v>
      </c>
      <c r="F102" s="2">
        <v>66234</v>
      </c>
      <c r="G102" s="2">
        <v>2167</v>
      </c>
      <c r="H102" s="2">
        <v>395.8</v>
      </c>
      <c r="I102" s="2">
        <v>61</v>
      </c>
      <c r="J102" s="2">
        <v>3050</v>
      </c>
      <c r="K102" s="2">
        <v>3.27E-2</v>
      </c>
      <c r="L102" s="2">
        <v>0.18</v>
      </c>
      <c r="M102" s="2">
        <v>8</v>
      </c>
      <c r="N102" s="2">
        <v>0.66</v>
      </c>
    </row>
    <row r="103" spans="1:14" ht="15.75" customHeight="1" x14ac:dyDescent="0.2">
      <c r="A103" s="2" t="s">
        <v>56</v>
      </c>
      <c r="B103" s="2" t="s">
        <v>80</v>
      </c>
      <c r="C103" s="2" t="s">
        <v>81</v>
      </c>
      <c r="D103" s="2" t="s">
        <v>82</v>
      </c>
      <c r="E103" s="2" t="s">
        <v>21</v>
      </c>
      <c r="F103" s="2">
        <v>127345</v>
      </c>
      <c r="G103" s="2">
        <v>445</v>
      </c>
      <c r="H103" s="2">
        <v>125.1</v>
      </c>
      <c r="I103" s="2">
        <v>12</v>
      </c>
      <c r="J103" s="2">
        <v>600</v>
      </c>
      <c r="K103" s="2">
        <v>3.5000000000000001E-3</v>
      </c>
      <c r="L103" s="2">
        <v>0.28000000000000003</v>
      </c>
      <c r="M103" s="2">
        <v>7</v>
      </c>
      <c r="N103" s="2">
        <v>0.33</v>
      </c>
    </row>
    <row r="104" spans="1:14" ht="15.75" customHeight="1" x14ac:dyDescent="0.2">
      <c r="A104" s="2" t="s">
        <v>57</v>
      </c>
      <c r="B104" s="2" t="s">
        <v>68</v>
      </c>
      <c r="C104" s="2" t="s">
        <v>69</v>
      </c>
      <c r="D104" s="2" t="s">
        <v>70</v>
      </c>
      <c r="E104" s="2" t="s">
        <v>71</v>
      </c>
      <c r="F104" s="2">
        <v>24890</v>
      </c>
      <c r="G104" s="2">
        <v>1278</v>
      </c>
      <c r="H104" s="2">
        <v>244.2</v>
      </c>
      <c r="I104" s="2">
        <v>47</v>
      </c>
      <c r="J104" s="2">
        <v>2350</v>
      </c>
      <c r="K104" s="2">
        <v>5.1299999999999998E-2</v>
      </c>
      <c r="L104" s="2">
        <v>0.19</v>
      </c>
      <c r="M104" s="2">
        <v>9</v>
      </c>
      <c r="N104" s="2">
        <v>0.91</v>
      </c>
    </row>
    <row r="105" spans="1:14" ht="15.75" customHeight="1" x14ac:dyDescent="0.2">
      <c r="A105" s="2" t="s">
        <v>57</v>
      </c>
      <c r="B105" s="2" t="s">
        <v>72</v>
      </c>
      <c r="C105" s="2" t="s">
        <v>73</v>
      </c>
      <c r="D105" s="2" t="s">
        <v>74</v>
      </c>
      <c r="E105" s="2" t="s">
        <v>75</v>
      </c>
      <c r="F105" s="2">
        <v>44567</v>
      </c>
      <c r="G105" s="2">
        <v>878</v>
      </c>
      <c r="H105" s="2">
        <v>570.79999999999995</v>
      </c>
      <c r="I105" s="2">
        <v>23</v>
      </c>
      <c r="J105" s="2">
        <v>1150</v>
      </c>
      <c r="K105" s="2">
        <v>1.9699999999999999E-2</v>
      </c>
      <c r="L105" s="2">
        <v>0.65</v>
      </c>
      <c r="M105" s="2">
        <v>7</v>
      </c>
      <c r="N105" s="2">
        <v>0.44</v>
      </c>
    </row>
    <row r="106" spans="1:14" ht="15.75" customHeight="1" x14ac:dyDescent="0.2">
      <c r="A106" s="2" t="s">
        <v>57</v>
      </c>
      <c r="B106" s="2" t="s">
        <v>76</v>
      </c>
      <c r="C106" s="2" t="s">
        <v>77</v>
      </c>
      <c r="D106" s="2" t="s">
        <v>78</v>
      </c>
      <c r="E106" s="2" t="s">
        <v>79</v>
      </c>
      <c r="F106" s="2">
        <v>68456</v>
      </c>
      <c r="G106" s="2">
        <v>2289</v>
      </c>
      <c r="H106" s="2">
        <v>419.5</v>
      </c>
      <c r="I106" s="2">
        <v>66</v>
      </c>
      <c r="J106" s="2">
        <v>3300</v>
      </c>
      <c r="K106" s="2">
        <v>3.3399999999999999E-2</v>
      </c>
      <c r="L106" s="2">
        <v>0.18</v>
      </c>
      <c r="M106" s="2">
        <v>8</v>
      </c>
      <c r="N106" s="2">
        <v>0.67</v>
      </c>
    </row>
    <row r="107" spans="1:14" ht="15.75" customHeight="1" x14ac:dyDescent="0.2">
      <c r="A107" s="2" t="s">
        <v>57</v>
      </c>
      <c r="B107" s="2" t="s">
        <v>80</v>
      </c>
      <c r="C107" s="2" t="s">
        <v>81</v>
      </c>
      <c r="D107" s="2" t="s">
        <v>82</v>
      </c>
      <c r="E107" s="2" t="s">
        <v>21</v>
      </c>
      <c r="F107" s="2">
        <v>131234</v>
      </c>
      <c r="G107" s="2">
        <v>467</v>
      </c>
      <c r="H107" s="2">
        <v>128.9</v>
      </c>
      <c r="I107" s="2">
        <v>13</v>
      </c>
      <c r="J107" s="2">
        <v>650</v>
      </c>
      <c r="K107" s="2">
        <v>3.5999999999999999E-3</v>
      </c>
      <c r="L107" s="2">
        <v>0.28000000000000003</v>
      </c>
      <c r="M107" s="2">
        <v>7</v>
      </c>
      <c r="N107" s="2">
        <v>0.34</v>
      </c>
    </row>
    <row r="108" spans="1:14" ht="15.75" customHeight="1" x14ac:dyDescent="0.2">
      <c r="A108" s="2" t="s">
        <v>58</v>
      </c>
      <c r="B108" s="2" t="s">
        <v>68</v>
      </c>
      <c r="C108" s="2" t="s">
        <v>69</v>
      </c>
      <c r="D108" s="2" t="s">
        <v>70</v>
      </c>
      <c r="E108" s="2" t="s">
        <v>71</v>
      </c>
      <c r="F108" s="2">
        <v>25456</v>
      </c>
      <c r="G108" s="2">
        <v>1334</v>
      </c>
      <c r="H108" s="2">
        <v>254.6</v>
      </c>
      <c r="I108" s="2">
        <v>50</v>
      </c>
      <c r="J108" s="2">
        <v>2500</v>
      </c>
      <c r="K108" s="2">
        <v>5.2400000000000002E-2</v>
      </c>
      <c r="L108" s="2">
        <v>0.19</v>
      </c>
      <c r="M108" s="2">
        <v>9</v>
      </c>
      <c r="N108" s="2">
        <v>0.92</v>
      </c>
    </row>
    <row r="109" spans="1:14" ht="15.75" customHeight="1" x14ac:dyDescent="0.2">
      <c r="A109" s="2" t="s">
        <v>58</v>
      </c>
      <c r="B109" s="2" t="s">
        <v>72</v>
      </c>
      <c r="C109" s="2" t="s">
        <v>73</v>
      </c>
      <c r="D109" s="2" t="s">
        <v>74</v>
      </c>
      <c r="E109" s="2" t="s">
        <v>75</v>
      </c>
      <c r="F109" s="2">
        <v>45890</v>
      </c>
      <c r="G109" s="2">
        <v>912</v>
      </c>
      <c r="H109" s="2">
        <v>587.70000000000005</v>
      </c>
      <c r="I109" s="2">
        <v>24</v>
      </c>
      <c r="J109" s="2">
        <v>1200</v>
      </c>
      <c r="K109" s="2">
        <v>1.9900000000000001E-2</v>
      </c>
      <c r="L109" s="2">
        <v>0.64</v>
      </c>
      <c r="M109" s="2">
        <v>7</v>
      </c>
      <c r="N109" s="2">
        <v>0.45</v>
      </c>
    </row>
    <row r="110" spans="1:14" ht="15.75" customHeight="1" x14ac:dyDescent="0.2">
      <c r="A110" s="2" t="s">
        <v>58</v>
      </c>
      <c r="B110" s="2" t="s">
        <v>76</v>
      </c>
      <c r="C110" s="2" t="s">
        <v>77</v>
      </c>
      <c r="D110" s="2" t="s">
        <v>78</v>
      </c>
      <c r="E110" s="2" t="s">
        <v>79</v>
      </c>
      <c r="F110" s="2">
        <v>70234</v>
      </c>
      <c r="G110" s="2">
        <v>2367</v>
      </c>
      <c r="H110" s="2">
        <v>432.1</v>
      </c>
      <c r="I110" s="2">
        <v>68</v>
      </c>
      <c r="J110" s="2">
        <v>3400</v>
      </c>
      <c r="K110" s="2">
        <v>3.3700000000000001E-2</v>
      </c>
      <c r="L110" s="2">
        <v>0.18</v>
      </c>
      <c r="M110" s="2">
        <v>8</v>
      </c>
      <c r="N110" s="2">
        <v>0.67</v>
      </c>
    </row>
    <row r="111" spans="1:14" ht="15.75" customHeight="1" x14ac:dyDescent="0.2">
      <c r="A111" s="2" t="s">
        <v>58</v>
      </c>
      <c r="B111" s="2" t="s">
        <v>80</v>
      </c>
      <c r="C111" s="2" t="s">
        <v>81</v>
      </c>
      <c r="D111" s="2" t="s">
        <v>82</v>
      </c>
      <c r="E111" s="2" t="s">
        <v>21</v>
      </c>
      <c r="F111" s="2">
        <v>133456</v>
      </c>
      <c r="G111" s="2">
        <v>478</v>
      </c>
      <c r="H111" s="2">
        <v>131.19999999999999</v>
      </c>
      <c r="I111" s="2">
        <v>14</v>
      </c>
      <c r="J111" s="2">
        <v>700</v>
      </c>
      <c r="K111" s="2">
        <v>3.5999999999999999E-3</v>
      </c>
      <c r="L111" s="2">
        <v>0.27</v>
      </c>
      <c r="M111" s="2">
        <v>7</v>
      </c>
      <c r="N111" s="2">
        <v>0.35</v>
      </c>
    </row>
    <row r="112" spans="1:14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5">
    <dataValidation type="list" allowBlank="1" showDropDown="1" showErrorMessage="1" sqref="A2:A111" xr:uid="{00000000-0002-0000-0100-000000000000}">
      <formula1>"2024-01-01,2024-01-02,2024-01-03,2024-01-04,2024-01-05,2024-01-06,2024-01-07,2024-01-08,2024-01-09,2024-01-10,2024-01-11,2024-01-12,2024-01-13,2024-01-14,2024-01-15,2024-01-16,2024-01-17,2024-01-18,2024-01-19,2024-01-20,2024-01-21,2024-01-22,2024-01-23,20"&amp;"24-01-24,2024-01-25,2024-01-26,2024-01-27,2024-01-28,2024-01-29,2024-01-30"</formula1>
    </dataValidation>
    <dataValidation type="list" allowBlank="1" showDropDown="1" showErrorMessage="1" sqref="D2:D111" xr:uid="{00000000-0002-0000-0100-000001000000}">
      <formula1>"gad_6001,gad_6002,gad_6003,gad_6004"</formula1>
    </dataValidation>
    <dataValidation type="list" allowBlank="1" showDropDown="1" showErrorMessage="1" sqref="E2:E111" xr:uid="{00000000-0002-0000-0100-000002000000}">
      <formula1>"Brand_Exact,Product_Broad,Best_Sellers,Cart_Abandoners"</formula1>
    </dataValidation>
    <dataValidation type="custom" allowBlank="1" showDropDown="1" sqref="F2:N111" xr:uid="{00000000-0002-0000-0100-000003000000}">
      <formula1>AND(ISNUMBER(F2),(NOT(OR(NOT(ISERROR(DATEVALUE(F2))), AND(ISNUMBER(F2), LEFT(CELL("format", F2))="D")))))</formula1>
    </dataValidation>
    <dataValidation type="list" allowBlank="1" showDropDown="1" showErrorMessage="1" sqref="B2:B111" xr:uid="{00000000-0002-0000-0100-000004000000}">
      <formula1>"g_5001,g_5002,g_5003,g_5004"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1" max="1" width="17.5" customWidth="1"/>
    <col min="2" max="2" width="21.83203125" customWidth="1"/>
    <col min="3" max="3" width="25.5" customWidth="1"/>
    <col min="4" max="4" width="20.33203125" customWidth="1"/>
    <col min="5" max="5" width="25.5" customWidth="1"/>
    <col min="6" max="6" width="21.5" customWidth="1"/>
    <col min="7" max="7" width="15.33203125" customWidth="1"/>
    <col min="8" max="8" width="14" customWidth="1"/>
    <col min="9" max="10" width="21.33203125" customWidth="1"/>
    <col min="11" max="13" width="24.83203125" customWidth="1"/>
    <col min="14" max="14" width="26.1640625" customWidth="1"/>
    <col min="15" max="15" width="14.33203125" customWidth="1"/>
    <col min="16" max="16" width="16.33203125" customWidth="1"/>
    <col min="17" max="17" width="20" customWidth="1"/>
    <col min="18" max="26" width="8.6640625" customWidth="1"/>
  </cols>
  <sheetData>
    <row r="1" spans="1:17" ht="22.5" customHeight="1" x14ac:dyDescent="0.2">
      <c r="A1" s="3" t="s">
        <v>59</v>
      </c>
      <c r="B1" s="1" t="s">
        <v>1</v>
      </c>
      <c r="C1" s="1" t="s">
        <v>2</v>
      </c>
      <c r="D1" s="1" t="s">
        <v>83</v>
      </c>
      <c r="E1" s="1" t="s">
        <v>84</v>
      </c>
      <c r="F1" s="1" t="s">
        <v>5</v>
      </c>
      <c r="G1" s="1" t="s">
        <v>6</v>
      </c>
      <c r="H1" s="1" t="s">
        <v>62</v>
      </c>
      <c r="I1" s="1" t="s">
        <v>8</v>
      </c>
      <c r="J1" s="1" t="s">
        <v>9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</row>
    <row r="2" spans="1:17" ht="22.5" customHeight="1" x14ac:dyDescent="0.2">
      <c r="A2" s="2" t="s">
        <v>13</v>
      </c>
      <c r="B2" s="2" t="s">
        <v>92</v>
      </c>
      <c r="C2" s="2" t="s">
        <v>93</v>
      </c>
      <c r="D2" s="2" t="s">
        <v>94</v>
      </c>
      <c r="E2" s="2" t="s">
        <v>95</v>
      </c>
      <c r="F2" s="2">
        <v>234567</v>
      </c>
      <c r="G2" s="2">
        <v>3456</v>
      </c>
      <c r="H2" s="2">
        <v>456.7</v>
      </c>
      <c r="I2" s="2">
        <v>34</v>
      </c>
      <c r="J2" s="2">
        <v>198234</v>
      </c>
      <c r="K2" s="2">
        <v>156234</v>
      </c>
      <c r="L2" s="2">
        <v>98234</v>
      </c>
      <c r="M2" s="2">
        <v>67234</v>
      </c>
      <c r="N2" s="2">
        <v>45234</v>
      </c>
      <c r="O2" s="2">
        <v>8923</v>
      </c>
      <c r="P2" s="2">
        <v>2345</v>
      </c>
      <c r="Q2" s="2">
        <v>567</v>
      </c>
    </row>
    <row r="3" spans="1:17" ht="22.5" customHeight="1" x14ac:dyDescent="0.2">
      <c r="A3" s="2" t="s">
        <v>13</v>
      </c>
      <c r="B3" s="2" t="s">
        <v>96</v>
      </c>
      <c r="C3" s="2" t="s">
        <v>97</v>
      </c>
      <c r="D3" s="2" t="s">
        <v>98</v>
      </c>
      <c r="E3" s="2" t="s">
        <v>99</v>
      </c>
      <c r="F3" s="2">
        <v>123456</v>
      </c>
      <c r="G3" s="2">
        <v>2345</v>
      </c>
      <c r="H3" s="2">
        <v>678.9</v>
      </c>
      <c r="I3" s="4">
        <v>67</v>
      </c>
      <c r="J3" s="2">
        <v>89234</v>
      </c>
      <c r="K3" s="2">
        <v>67234</v>
      </c>
      <c r="L3" s="2">
        <v>45234</v>
      </c>
      <c r="M3" s="2">
        <v>34234</v>
      </c>
      <c r="N3" s="2">
        <v>23456</v>
      </c>
      <c r="O3" s="2">
        <v>4567</v>
      </c>
      <c r="P3" s="2">
        <v>1234</v>
      </c>
      <c r="Q3" s="2">
        <v>234</v>
      </c>
    </row>
    <row r="4" spans="1:17" ht="22.5" customHeight="1" x14ac:dyDescent="0.2">
      <c r="A4" s="2" t="s">
        <v>13</v>
      </c>
      <c r="B4" s="2" t="s">
        <v>100</v>
      </c>
      <c r="C4" s="2" t="s">
        <v>101</v>
      </c>
      <c r="D4" s="2" t="s">
        <v>102</v>
      </c>
      <c r="E4" s="2" t="s">
        <v>103</v>
      </c>
      <c r="F4" s="2">
        <v>189234</v>
      </c>
      <c r="G4" s="2">
        <v>2890</v>
      </c>
      <c r="H4" s="2">
        <v>345.6</v>
      </c>
      <c r="I4" s="2">
        <v>23</v>
      </c>
      <c r="J4" s="2">
        <v>145678</v>
      </c>
      <c r="K4" s="2">
        <v>112345</v>
      </c>
      <c r="L4" s="2">
        <v>89234</v>
      </c>
      <c r="M4" s="2">
        <v>56789</v>
      </c>
      <c r="N4" s="2">
        <v>34567</v>
      </c>
      <c r="O4" s="2">
        <v>6789</v>
      </c>
      <c r="P4" s="2">
        <v>1890</v>
      </c>
      <c r="Q4" s="2">
        <v>456</v>
      </c>
    </row>
    <row r="5" spans="1:17" ht="22.5" customHeight="1" x14ac:dyDescent="0.2">
      <c r="A5" s="2" t="s">
        <v>26</v>
      </c>
      <c r="B5" s="2" t="s">
        <v>92</v>
      </c>
      <c r="C5" s="2" t="s">
        <v>93</v>
      </c>
      <c r="D5" s="2" t="s">
        <v>94</v>
      </c>
      <c r="E5" s="2" t="s">
        <v>95</v>
      </c>
      <c r="F5" s="2">
        <v>245678</v>
      </c>
      <c r="G5" s="2">
        <v>3678</v>
      </c>
      <c r="H5" s="2">
        <v>478.9</v>
      </c>
      <c r="I5" s="2">
        <v>36</v>
      </c>
      <c r="J5" s="2">
        <v>207345</v>
      </c>
      <c r="K5" s="2">
        <v>163456</v>
      </c>
      <c r="L5" s="2">
        <v>102345</v>
      </c>
      <c r="M5" s="2">
        <v>70234</v>
      </c>
      <c r="N5" s="2">
        <v>47234</v>
      </c>
      <c r="O5" s="2">
        <v>9234</v>
      </c>
      <c r="P5" s="2">
        <v>2456</v>
      </c>
      <c r="Q5" s="2">
        <v>589</v>
      </c>
    </row>
    <row r="6" spans="1:17" ht="22.5" customHeight="1" x14ac:dyDescent="0.2">
      <c r="A6" s="2" t="s">
        <v>26</v>
      </c>
      <c r="B6" s="2" t="s">
        <v>96</v>
      </c>
      <c r="C6" s="2" t="s">
        <v>97</v>
      </c>
      <c r="D6" s="2" t="s">
        <v>98</v>
      </c>
      <c r="E6" s="2" t="s">
        <v>99</v>
      </c>
      <c r="F6" s="2">
        <v>134567</v>
      </c>
      <c r="G6" s="2">
        <v>2567</v>
      </c>
      <c r="H6" s="2">
        <v>712.3</v>
      </c>
      <c r="I6" s="2">
        <v>71</v>
      </c>
      <c r="J6" s="2">
        <v>95678</v>
      </c>
      <c r="K6" s="2">
        <v>71234</v>
      </c>
      <c r="L6" s="2">
        <v>48234</v>
      </c>
      <c r="M6" s="2">
        <v>36234</v>
      </c>
      <c r="N6" s="2">
        <v>24567</v>
      </c>
      <c r="O6" s="2">
        <v>4789</v>
      </c>
      <c r="P6" s="2">
        <v>1345</v>
      </c>
      <c r="Q6" s="2">
        <v>245</v>
      </c>
    </row>
    <row r="7" spans="1:17" ht="22.5" customHeight="1" x14ac:dyDescent="0.2">
      <c r="A7" s="2" t="s">
        <v>26</v>
      </c>
      <c r="B7" s="2" t="s">
        <v>100</v>
      </c>
      <c r="C7" s="2" t="s">
        <v>101</v>
      </c>
      <c r="D7" s="2" t="s">
        <v>102</v>
      </c>
      <c r="E7" s="2" t="s">
        <v>103</v>
      </c>
      <c r="F7" s="2">
        <v>198345</v>
      </c>
      <c r="G7" s="2">
        <v>3012</v>
      </c>
      <c r="H7" s="2">
        <v>361.2</v>
      </c>
      <c r="I7" s="2">
        <v>25</v>
      </c>
      <c r="J7" s="2">
        <v>152345</v>
      </c>
      <c r="K7" s="2">
        <v>117234</v>
      </c>
      <c r="L7" s="2">
        <v>93234</v>
      </c>
      <c r="M7" s="2">
        <v>59234</v>
      </c>
      <c r="N7" s="2">
        <v>36234</v>
      </c>
      <c r="O7" s="2">
        <v>7123</v>
      </c>
      <c r="P7" s="2">
        <v>1967</v>
      </c>
      <c r="Q7" s="2">
        <v>478</v>
      </c>
    </row>
    <row r="8" spans="1:17" ht="22.5" customHeight="1" x14ac:dyDescent="0.2">
      <c r="A8" s="2" t="s">
        <v>27</v>
      </c>
      <c r="B8" s="2" t="s">
        <v>92</v>
      </c>
      <c r="C8" s="2" t="s">
        <v>93</v>
      </c>
      <c r="D8" s="2" t="s">
        <v>94</v>
      </c>
      <c r="E8" s="2" t="s">
        <v>95</v>
      </c>
      <c r="F8" s="2">
        <v>223456</v>
      </c>
      <c r="G8" s="2">
        <v>3234</v>
      </c>
      <c r="H8" s="2">
        <v>434.5</v>
      </c>
      <c r="I8" s="2">
        <v>32</v>
      </c>
      <c r="J8" s="2">
        <v>189234</v>
      </c>
      <c r="K8" s="2">
        <v>148234</v>
      </c>
      <c r="L8" s="2">
        <v>93234</v>
      </c>
      <c r="M8" s="2">
        <v>63456</v>
      </c>
      <c r="N8" s="2">
        <v>43234</v>
      </c>
      <c r="O8" s="2">
        <v>8567</v>
      </c>
      <c r="P8" s="2">
        <v>2234</v>
      </c>
      <c r="Q8" s="2">
        <v>534</v>
      </c>
    </row>
    <row r="9" spans="1:17" ht="22.5" customHeight="1" x14ac:dyDescent="0.2">
      <c r="A9" s="2" t="s">
        <v>27</v>
      </c>
      <c r="B9" s="2" t="s">
        <v>96</v>
      </c>
      <c r="C9" s="2" t="s">
        <v>97</v>
      </c>
      <c r="D9" s="2" t="s">
        <v>98</v>
      </c>
      <c r="E9" s="2" t="s">
        <v>99</v>
      </c>
      <c r="F9" s="2">
        <v>112345</v>
      </c>
      <c r="G9" s="2">
        <v>2123</v>
      </c>
      <c r="H9" s="2">
        <v>623.4</v>
      </c>
      <c r="I9" s="2">
        <v>62</v>
      </c>
      <c r="J9" s="2">
        <v>82345</v>
      </c>
      <c r="K9" s="2">
        <v>61234</v>
      </c>
      <c r="L9" s="2">
        <v>41234</v>
      </c>
      <c r="M9" s="2">
        <v>31234</v>
      </c>
      <c r="N9" s="2">
        <v>21234</v>
      </c>
      <c r="O9" s="2">
        <v>4234</v>
      </c>
      <c r="P9" s="2">
        <v>1123</v>
      </c>
      <c r="Q9" s="2">
        <v>212</v>
      </c>
    </row>
    <row r="10" spans="1:17" ht="22.5" customHeight="1" x14ac:dyDescent="0.2">
      <c r="A10" s="2" t="s">
        <v>27</v>
      </c>
      <c r="B10" s="2" t="s">
        <v>104</v>
      </c>
      <c r="C10" s="2" t="s">
        <v>105</v>
      </c>
      <c r="D10" s="2" t="s">
        <v>106</v>
      </c>
      <c r="E10" s="2" t="s">
        <v>107</v>
      </c>
      <c r="F10" s="2">
        <v>345678</v>
      </c>
      <c r="G10" s="2">
        <v>5678</v>
      </c>
      <c r="H10" s="2">
        <v>890.1</v>
      </c>
      <c r="I10" s="2">
        <v>89</v>
      </c>
      <c r="J10" s="2">
        <v>289234</v>
      </c>
      <c r="K10" s="2">
        <v>234567</v>
      </c>
      <c r="L10" s="2">
        <v>189234</v>
      </c>
      <c r="M10" s="2">
        <v>134567</v>
      </c>
      <c r="N10" s="2">
        <v>89234</v>
      </c>
      <c r="O10" s="2">
        <v>15678</v>
      </c>
      <c r="P10" s="2">
        <v>4567</v>
      </c>
      <c r="Q10" s="2">
        <v>1234</v>
      </c>
    </row>
    <row r="11" spans="1:17" ht="22.5" customHeight="1" x14ac:dyDescent="0.2">
      <c r="A11" s="2" t="s">
        <v>28</v>
      </c>
      <c r="B11" s="2" t="s">
        <v>92</v>
      </c>
      <c r="C11" s="2" t="s">
        <v>93</v>
      </c>
      <c r="D11" s="2" t="s">
        <v>94</v>
      </c>
      <c r="E11" s="2" t="s">
        <v>95</v>
      </c>
      <c r="F11" s="2">
        <v>256789</v>
      </c>
      <c r="G11" s="2">
        <v>3890</v>
      </c>
      <c r="H11" s="2">
        <v>512.29999999999995</v>
      </c>
      <c r="I11" s="2">
        <v>39</v>
      </c>
      <c r="J11" s="2">
        <v>217456</v>
      </c>
      <c r="K11" s="2">
        <v>170234</v>
      </c>
      <c r="L11" s="2">
        <v>107234</v>
      </c>
      <c r="M11" s="2">
        <v>72456</v>
      </c>
      <c r="N11" s="2">
        <v>48456</v>
      </c>
      <c r="O11" s="2">
        <v>9567</v>
      </c>
      <c r="P11" s="2">
        <v>2567</v>
      </c>
      <c r="Q11" s="2">
        <v>612</v>
      </c>
    </row>
    <row r="12" spans="1:17" ht="22.5" customHeight="1" x14ac:dyDescent="0.2">
      <c r="A12" s="2" t="s">
        <v>28</v>
      </c>
      <c r="B12" s="2" t="s">
        <v>100</v>
      </c>
      <c r="C12" s="2" t="s">
        <v>101</v>
      </c>
      <c r="D12" s="2" t="s">
        <v>102</v>
      </c>
      <c r="E12" s="2" t="s">
        <v>103</v>
      </c>
      <c r="F12" s="2">
        <v>201234</v>
      </c>
      <c r="G12" s="2">
        <v>3123</v>
      </c>
      <c r="H12" s="2">
        <v>374.5</v>
      </c>
      <c r="I12" s="2">
        <v>26</v>
      </c>
      <c r="J12" s="2">
        <v>157890</v>
      </c>
      <c r="K12" s="2">
        <v>121234</v>
      </c>
      <c r="L12" s="2">
        <v>96234</v>
      </c>
      <c r="M12" s="2">
        <v>61234</v>
      </c>
      <c r="N12" s="2">
        <v>37456</v>
      </c>
      <c r="O12" s="2">
        <v>7345</v>
      </c>
      <c r="P12" s="2">
        <v>2034</v>
      </c>
      <c r="Q12" s="2">
        <v>489</v>
      </c>
    </row>
    <row r="13" spans="1:17" ht="22.5" customHeight="1" x14ac:dyDescent="0.2">
      <c r="A13" s="2" t="s">
        <v>28</v>
      </c>
      <c r="B13" s="2" t="s">
        <v>104</v>
      </c>
      <c r="C13" s="2" t="s">
        <v>105</v>
      </c>
      <c r="D13" s="2" t="s">
        <v>106</v>
      </c>
      <c r="E13" s="2" t="s">
        <v>107</v>
      </c>
      <c r="F13" s="2">
        <v>367890</v>
      </c>
      <c r="G13" s="2">
        <v>6012</v>
      </c>
      <c r="H13" s="2">
        <v>923.4</v>
      </c>
      <c r="I13" s="2">
        <v>94</v>
      </c>
      <c r="J13" s="2">
        <v>301234</v>
      </c>
      <c r="K13" s="2">
        <v>245678</v>
      </c>
      <c r="L13" s="2">
        <v>196789</v>
      </c>
      <c r="M13" s="2">
        <v>140234</v>
      </c>
      <c r="N13" s="2">
        <v>93456</v>
      </c>
      <c r="O13" s="2">
        <v>16234</v>
      </c>
      <c r="P13" s="2">
        <v>4789</v>
      </c>
      <c r="Q13" s="2">
        <v>1289</v>
      </c>
    </row>
    <row r="14" spans="1:17" ht="22.5" customHeight="1" x14ac:dyDescent="0.2">
      <c r="A14" s="2" t="s">
        <v>33</v>
      </c>
      <c r="B14" s="2" t="s">
        <v>92</v>
      </c>
      <c r="C14" s="2" t="s">
        <v>93</v>
      </c>
      <c r="D14" s="2" t="s">
        <v>94</v>
      </c>
      <c r="E14" s="2" t="s">
        <v>95</v>
      </c>
      <c r="F14" s="2">
        <v>234234</v>
      </c>
      <c r="G14" s="2">
        <v>3467</v>
      </c>
      <c r="H14" s="2">
        <v>460.2</v>
      </c>
      <c r="I14" s="2">
        <v>35</v>
      </c>
      <c r="J14" s="2">
        <v>199234</v>
      </c>
      <c r="K14" s="2">
        <v>156789</v>
      </c>
      <c r="L14" s="2">
        <v>98789</v>
      </c>
      <c r="M14" s="2">
        <v>67789</v>
      </c>
      <c r="N14" s="2">
        <v>45456</v>
      </c>
      <c r="O14" s="2">
        <v>8945</v>
      </c>
      <c r="P14" s="2">
        <v>2367</v>
      </c>
      <c r="Q14" s="2">
        <v>578</v>
      </c>
    </row>
    <row r="15" spans="1:17" ht="22.5" customHeight="1" x14ac:dyDescent="0.2">
      <c r="A15" s="2" t="s">
        <v>33</v>
      </c>
      <c r="B15" s="2" t="s">
        <v>96</v>
      </c>
      <c r="C15" s="2" t="s">
        <v>97</v>
      </c>
      <c r="D15" s="2" t="s">
        <v>98</v>
      </c>
      <c r="E15" s="2" t="s">
        <v>99</v>
      </c>
      <c r="F15" s="2">
        <v>128901</v>
      </c>
      <c r="G15" s="2">
        <v>2456</v>
      </c>
      <c r="H15" s="2">
        <v>689.5</v>
      </c>
      <c r="I15" s="2">
        <v>68</v>
      </c>
      <c r="J15" s="2">
        <v>91234</v>
      </c>
      <c r="K15" s="2">
        <v>68234</v>
      </c>
      <c r="L15" s="2">
        <v>45789</v>
      </c>
      <c r="M15" s="2">
        <v>34567</v>
      </c>
      <c r="N15" s="2">
        <v>23678</v>
      </c>
      <c r="O15" s="2">
        <v>4678</v>
      </c>
      <c r="P15" s="2">
        <v>1267</v>
      </c>
      <c r="Q15" s="2">
        <v>237</v>
      </c>
    </row>
    <row r="16" spans="1:17" ht="22.5" customHeight="1" x14ac:dyDescent="0.2">
      <c r="A16" s="2" t="s">
        <v>33</v>
      </c>
      <c r="B16" s="2" t="s">
        <v>104</v>
      </c>
      <c r="C16" s="2" t="s">
        <v>105</v>
      </c>
      <c r="D16" s="2" t="s">
        <v>106</v>
      </c>
      <c r="E16" s="2" t="s">
        <v>107</v>
      </c>
      <c r="F16" s="2">
        <v>356789</v>
      </c>
      <c r="G16" s="2">
        <v>5834</v>
      </c>
      <c r="H16" s="2">
        <v>901.2</v>
      </c>
      <c r="I16" s="2">
        <v>91</v>
      </c>
      <c r="J16" s="2">
        <v>293456</v>
      </c>
      <c r="K16" s="2">
        <v>239234</v>
      </c>
      <c r="L16" s="2">
        <v>191234</v>
      </c>
      <c r="M16" s="2">
        <v>136234</v>
      </c>
      <c r="N16" s="2">
        <v>90234</v>
      </c>
      <c r="O16" s="2">
        <v>15890</v>
      </c>
      <c r="P16" s="2">
        <v>4634</v>
      </c>
      <c r="Q16" s="2">
        <v>1256</v>
      </c>
    </row>
    <row r="17" spans="1:17" ht="22.5" customHeight="1" x14ac:dyDescent="0.2">
      <c r="A17" s="2" t="s">
        <v>34</v>
      </c>
      <c r="B17" s="2" t="s">
        <v>92</v>
      </c>
      <c r="C17" s="2" t="s">
        <v>93</v>
      </c>
      <c r="D17" s="2" t="s">
        <v>94</v>
      </c>
      <c r="E17" s="2" t="s">
        <v>95</v>
      </c>
      <c r="F17" s="2">
        <v>267890</v>
      </c>
      <c r="G17" s="2">
        <v>3945</v>
      </c>
      <c r="H17" s="2">
        <v>523.4</v>
      </c>
      <c r="I17" s="2">
        <v>40</v>
      </c>
      <c r="J17" s="2">
        <v>221234</v>
      </c>
      <c r="K17" s="2">
        <v>173456</v>
      </c>
      <c r="L17" s="2">
        <v>109234</v>
      </c>
      <c r="M17" s="2">
        <v>73567</v>
      </c>
      <c r="N17" s="2">
        <v>49234</v>
      </c>
      <c r="O17" s="2">
        <v>9789</v>
      </c>
      <c r="P17" s="2">
        <v>2634</v>
      </c>
      <c r="Q17" s="2">
        <v>623</v>
      </c>
    </row>
    <row r="18" spans="1:17" ht="22.5" customHeight="1" x14ac:dyDescent="0.2">
      <c r="A18" s="2" t="s">
        <v>34</v>
      </c>
      <c r="B18" s="2" t="s">
        <v>100</v>
      </c>
      <c r="C18" s="2" t="s">
        <v>101</v>
      </c>
      <c r="D18" s="2" t="s">
        <v>102</v>
      </c>
      <c r="E18" s="2" t="s">
        <v>103</v>
      </c>
      <c r="F18" s="2">
        <v>205678</v>
      </c>
      <c r="G18" s="2">
        <v>3234</v>
      </c>
      <c r="H18" s="2">
        <v>387.8</v>
      </c>
      <c r="I18" s="2">
        <v>27</v>
      </c>
      <c r="J18" s="2">
        <v>162345</v>
      </c>
      <c r="K18" s="2">
        <v>124567</v>
      </c>
      <c r="L18" s="2">
        <v>98901</v>
      </c>
      <c r="M18" s="2">
        <v>63234</v>
      </c>
      <c r="N18" s="2">
        <v>38234</v>
      </c>
      <c r="O18" s="2">
        <v>7567</v>
      </c>
      <c r="P18" s="2">
        <v>2089</v>
      </c>
      <c r="Q18" s="2">
        <v>501</v>
      </c>
    </row>
    <row r="19" spans="1:17" ht="22.5" customHeight="1" x14ac:dyDescent="0.2">
      <c r="A19" s="2" t="s">
        <v>34</v>
      </c>
      <c r="B19" s="2" t="s">
        <v>104</v>
      </c>
      <c r="C19" s="2" t="s">
        <v>105</v>
      </c>
      <c r="D19" s="2" t="s">
        <v>106</v>
      </c>
      <c r="E19" s="2" t="s">
        <v>107</v>
      </c>
      <c r="F19" s="2">
        <v>378901</v>
      </c>
      <c r="G19" s="2">
        <v>6123</v>
      </c>
      <c r="H19" s="2">
        <v>945.6</v>
      </c>
      <c r="I19" s="2">
        <v>96</v>
      </c>
      <c r="J19" s="2">
        <v>312345</v>
      </c>
      <c r="K19" s="2">
        <v>251234</v>
      </c>
      <c r="L19" s="2">
        <v>201234</v>
      </c>
      <c r="M19" s="2">
        <v>143456</v>
      </c>
      <c r="N19" s="2">
        <v>95234</v>
      </c>
      <c r="O19" s="2">
        <v>16567</v>
      </c>
      <c r="P19" s="2">
        <v>4823</v>
      </c>
      <c r="Q19" s="2">
        <v>1312</v>
      </c>
    </row>
    <row r="20" spans="1:17" ht="22.5" customHeight="1" x14ac:dyDescent="0.2">
      <c r="A20" s="2" t="s">
        <v>35</v>
      </c>
      <c r="B20" s="2" t="s">
        <v>92</v>
      </c>
      <c r="C20" s="2" t="s">
        <v>93</v>
      </c>
      <c r="D20" s="2" t="s">
        <v>94</v>
      </c>
      <c r="E20" s="2" t="s">
        <v>95</v>
      </c>
      <c r="F20" s="2">
        <v>278901</v>
      </c>
      <c r="G20" s="2">
        <v>4123</v>
      </c>
      <c r="H20" s="2">
        <v>545.6</v>
      </c>
      <c r="I20" s="2">
        <v>42</v>
      </c>
      <c r="J20" s="2">
        <v>229234</v>
      </c>
      <c r="K20" s="2">
        <v>179234</v>
      </c>
      <c r="L20" s="2">
        <v>112234</v>
      </c>
      <c r="M20" s="2">
        <v>75678</v>
      </c>
      <c r="N20" s="2">
        <v>50234</v>
      </c>
      <c r="O20" s="2">
        <v>10123</v>
      </c>
      <c r="P20" s="2">
        <v>2712</v>
      </c>
      <c r="Q20" s="2">
        <v>645</v>
      </c>
    </row>
    <row r="21" spans="1:17" ht="15.75" customHeight="1" x14ac:dyDescent="0.2">
      <c r="A21" s="2" t="s">
        <v>35</v>
      </c>
      <c r="B21" s="2" t="s">
        <v>96</v>
      </c>
      <c r="C21" s="2" t="s">
        <v>97</v>
      </c>
      <c r="D21" s="2" t="s">
        <v>98</v>
      </c>
      <c r="E21" s="2" t="s">
        <v>99</v>
      </c>
      <c r="F21" s="2">
        <v>138901</v>
      </c>
      <c r="G21" s="2">
        <v>2678</v>
      </c>
      <c r="H21" s="2">
        <v>734.5</v>
      </c>
      <c r="I21" s="2">
        <v>73</v>
      </c>
      <c r="J21" s="2">
        <v>97890</v>
      </c>
      <c r="K21" s="2">
        <v>72345</v>
      </c>
      <c r="L21" s="2">
        <v>48901</v>
      </c>
      <c r="M21" s="2">
        <v>36789</v>
      </c>
      <c r="N21" s="2">
        <v>24890</v>
      </c>
      <c r="O21" s="2">
        <v>4901</v>
      </c>
      <c r="P21" s="2">
        <v>1356</v>
      </c>
      <c r="Q21" s="2">
        <v>256</v>
      </c>
    </row>
    <row r="22" spans="1:17" ht="15.75" customHeight="1" x14ac:dyDescent="0.2">
      <c r="A22" s="2" t="s">
        <v>35</v>
      </c>
      <c r="B22" s="2" t="s">
        <v>100</v>
      </c>
      <c r="C22" s="2" t="s">
        <v>101</v>
      </c>
      <c r="D22" s="2" t="s">
        <v>102</v>
      </c>
      <c r="E22" s="2" t="s">
        <v>103</v>
      </c>
      <c r="F22" s="2">
        <v>212345</v>
      </c>
      <c r="G22" s="2">
        <v>3345</v>
      </c>
      <c r="H22" s="2">
        <v>401.1</v>
      </c>
      <c r="I22" s="2">
        <v>28</v>
      </c>
      <c r="J22" s="2">
        <v>167890</v>
      </c>
      <c r="K22" s="2">
        <v>128234</v>
      </c>
      <c r="L22" s="2">
        <v>101234</v>
      </c>
      <c r="M22" s="2">
        <v>65234</v>
      </c>
      <c r="N22" s="2">
        <v>39456</v>
      </c>
      <c r="O22" s="2">
        <v>7789</v>
      </c>
      <c r="P22" s="2">
        <v>2145</v>
      </c>
      <c r="Q22" s="2">
        <v>512</v>
      </c>
    </row>
    <row r="23" spans="1:17" ht="15.75" customHeight="1" x14ac:dyDescent="0.2">
      <c r="A23" s="2" t="s">
        <v>36</v>
      </c>
      <c r="B23" s="2" t="s">
        <v>92</v>
      </c>
      <c r="C23" s="2" t="s">
        <v>93</v>
      </c>
      <c r="D23" s="2" t="s">
        <v>94</v>
      </c>
      <c r="E23" s="2" t="s">
        <v>95</v>
      </c>
      <c r="F23" s="2">
        <v>245234</v>
      </c>
      <c r="G23" s="2">
        <v>3578</v>
      </c>
      <c r="H23" s="2">
        <v>474.3</v>
      </c>
      <c r="I23" s="2">
        <v>37</v>
      </c>
      <c r="J23" s="2">
        <v>203456</v>
      </c>
      <c r="K23" s="2">
        <v>158901</v>
      </c>
      <c r="L23" s="2">
        <v>99567</v>
      </c>
      <c r="M23" s="2">
        <v>68234</v>
      </c>
      <c r="N23" s="2">
        <v>45789</v>
      </c>
      <c r="O23" s="2">
        <v>8978</v>
      </c>
      <c r="P23" s="2">
        <v>2389</v>
      </c>
      <c r="Q23" s="2">
        <v>590</v>
      </c>
    </row>
    <row r="24" spans="1:17" ht="15.75" customHeight="1" x14ac:dyDescent="0.2">
      <c r="A24" s="2" t="s">
        <v>36</v>
      </c>
      <c r="B24" s="2" t="s">
        <v>96</v>
      </c>
      <c r="C24" s="2" t="s">
        <v>97</v>
      </c>
      <c r="D24" s="2" t="s">
        <v>98</v>
      </c>
      <c r="E24" s="2" t="s">
        <v>99</v>
      </c>
      <c r="F24" s="2">
        <v>119234</v>
      </c>
      <c r="G24" s="2">
        <v>2234</v>
      </c>
      <c r="H24" s="2">
        <v>645.6</v>
      </c>
      <c r="I24" s="2">
        <v>64</v>
      </c>
      <c r="J24" s="2">
        <v>85678</v>
      </c>
      <c r="K24" s="2">
        <v>63456</v>
      </c>
      <c r="L24" s="2">
        <v>42345</v>
      </c>
      <c r="M24" s="2">
        <v>32234</v>
      </c>
      <c r="N24" s="2">
        <v>22234</v>
      </c>
      <c r="O24" s="2">
        <v>4345</v>
      </c>
      <c r="P24" s="2">
        <v>1189</v>
      </c>
      <c r="Q24" s="2">
        <v>223</v>
      </c>
    </row>
    <row r="25" spans="1:17" ht="15.75" customHeight="1" x14ac:dyDescent="0.2">
      <c r="A25" s="2" t="s">
        <v>36</v>
      </c>
      <c r="B25" s="2" t="s">
        <v>104</v>
      </c>
      <c r="C25" s="2" t="s">
        <v>105</v>
      </c>
      <c r="D25" s="2" t="s">
        <v>106</v>
      </c>
      <c r="E25" s="2" t="s">
        <v>107</v>
      </c>
      <c r="F25" s="2">
        <v>389012</v>
      </c>
      <c r="G25" s="2">
        <v>6234</v>
      </c>
      <c r="H25" s="2">
        <v>967.8</v>
      </c>
      <c r="I25" s="2">
        <v>98</v>
      </c>
      <c r="J25" s="2">
        <v>321234</v>
      </c>
      <c r="K25" s="2">
        <v>258901</v>
      </c>
      <c r="L25" s="2">
        <v>207890</v>
      </c>
      <c r="M25" s="2">
        <v>147234</v>
      </c>
      <c r="N25" s="2">
        <v>97456</v>
      </c>
      <c r="O25" s="2">
        <v>16901</v>
      </c>
      <c r="P25" s="2">
        <v>4912</v>
      </c>
      <c r="Q25" s="2">
        <v>1345</v>
      </c>
    </row>
    <row r="26" spans="1:17" ht="15.75" customHeight="1" x14ac:dyDescent="0.2">
      <c r="A26" s="2" t="s">
        <v>37</v>
      </c>
      <c r="B26" s="2" t="s">
        <v>92</v>
      </c>
      <c r="C26" s="2" t="s">
        <v>93</v>
      </c>
      <c r="D26" s="2" t="s">
        <v>94</v>
      </c>
      <c r="E26" s="2" t="s">
        <v>95</v>
      </c>
      <c r="F26" s="2">
        <v>289012</v>
      </c>
      <c r="G26" s="2">
        <v>4234</v>
      </c>
      <c r="H26" s="2">
        <v>556.70000000000005</v>
      </c>
      <c r="I26" s="2">
        <v>43</v>
      </c>
      <c r="J26" s="2">
        <v>234567</v>
      </c>
      <c r="K26" s="2">
        <v>182345</v>
      </c>
      <c r="L26" s="2">
        <v>114567</v>
      </c>
      <c r="M26" s="2">
        <v>77234</v>
      </c>
      <c r="N26" s="2">
        <v>51234</v>
      </c>
      <c r="O26" s="2">
        <v>10345</v>
      </c>
      <c r="P26" s="2">
        <v>2789</v>
      </c>
      <c r="Q26" s="2">
        <v>656</v>
      </c>
    </row>
    <row r="27" spans="1:17" ht="15.75" customHeight="1" x14ac:dyDescent="0.2">
      <c r="A27" s="2" t="s">
        <v>37</v>
      </c>
      <c r="B27" s="2" t="s">
        <v>100</v>
      </c>
      <c r="C27" s="2" t="s">
        <v>101</v>
      </c>
      <c r="D27" s="2" t="s">
        <v>102</v>
      </c>
      <c r="E27" s="2" t="s">
        <v>103</v>
      </c>
      <c r="F27" s="2">
        <v>218901</v>
      </c>
      <c r="G27" s="2">
        <v>3456</v>
      </c>
      <c r="H27" s="2">
        <v>414.4</v>
      </c>
      <c r="I27" s="2">
        <v>29</v>
      </c>
      <c r="J27" s="2">
        <v>173456</v>
      </c>
      <c r="K27" s="2">
        <v>131567</v>
      </c>
      <c r="L27" s="2">
        <v>103567</v>
      </c>
      <c r="M27" s="2">
        <v>67234</v>
      </c>
      <c r="N27" s="2">
        <v>40567</v>
      </c>
      <c r="O27" s="2">
        <v>8012</v>
      </c>
      <c r="P27" s="2">
        <v>2201</v>
      </c>
      <c r="Q27" s="2">
        <v>523</v>
      </c>
    </row>
    <row r="28" spans="1:17" ht="15.75" customHeight="1" x14ac:dyDescent="0.2">
      <c r="A28" s="2" t="s">
        <v>37</v>
      </c>
      <c r="B28" s="2" t="s">
        <v>104</v>
      </c>
      <c r="C28" s="2" t="s">
        <v>105</v>
      </c>
      <c r="D28" s="2" t="s">
        <v>106</v>
      </c>
      <c r="E28" s="2" t="s">
        <v>107</v>
      </c>
      <c r="F28" s="2">
        <v>401234</v>
      </c>
      <c r="G28" s="2">
        <v>6456</v>
      </c>
      <c r="H28" s="2">
        <v>989.9</v>
      </c>
      <c r="I28" s="2">
        <v>101</v>
      </c>
      <c r="J28" s="2">
        <v>332345</v>
      </c>
      <c r="K28" s="2">
        <v>267890</v>
      </c>
      <c r="L28" s="2">
        <v>214567</v>
      </c>
      <c r="M28" s="2">
        <v>151234</v>
      </c>
      <c r="N28" s="2">
        <v>99567</v>
      </c>
      <c r="O28" s="2">
        <v>17234</v>
      </c>
      <c r="P28" s="2">
        <v>5012</v>
      </c>
      <c r="Q28" s="2">
        <v>1378</v>
      </c>
    </row>
    <row r="29" spans="1:17" ht="15.75" customHeight="1" x14ac:dyDescent="0.2">
      <c r="A29" s="2" t="s">
        <v>38</v>
      </c>
      <c r="B29" s="2" t="s">
        <v>92</v>
      </c>
      <c r="C29" s="2" t="s">
        <v>93</v>
      </c>
      <c r="D29" s="2" t="s">
        <v>94</v>
      </c>
      <c r="E29" s="2" t="s">
        <v>95</v>
      </c>
      <c r="F29" s="2">
        <v>256234</v>
      </c>
      <c r="G29" s="2">
        <v>3701</v>
      </c>
      <c r="H29" s="2">
        <v>490.5</v>
      </c>
      <c r="I29" s="2">
        <v>38</v>
      </c>
      <c r="J29" s="2">
        <v>209234</v>
      </c>
      <c r="K29" s="2">
        <v>163567</v>
      </c>
      <c r="L29" s="2">
        <v>102567</v>
      </c>
      <c r="M29" s="2">
        <v>69567</v>
      </c>
      <c r="N29" s="2">
        <v>46567</v>
      </c>
      <c r="O29" s="2">
        <v>9123</v>
      </c>
      <c r="P29" s="2">
        <v>2423</v>
      </c>
      <c r="Q29" s="2">
        <v>601</v>
      </c>
    </row>
    <row r="30" spans="1:17" ht="15.75" customHeight="1" x14ac:dyDescent="0.2">
      <c r="A30" s="2" t="s">
        <v>38</v>
      </c>
      <c r="B30" s="2" t="s">
        <v>96</v>
      </c>
      <c r="C30" s="2" t="s">
        <v>97</v>
      </c>
      <c r="D30" s="2" t="s">
        <v>98</v>
      </c>
      <c r="E30" s="2" t="s">
        <v>99</v>
      </c>
      <c r="F30" s="2">
        <v>145678</v>
      </c>
      <c r="G30" s="2">
        <v>2789</v>
      </c>
      <c r="H30" s="2">
        <v>756.7</v>
      </c>
      <c r="I30" s="2">
        <v>76</v>
      </c>
      <c r="J30" s="2">
        <v>101234</v>
      </c>
      <c r="K30" s="2">
        <v>74567</v>
      </c>
      <c r="L30" s="2">
        <v>50234</v>
      </c>
      <c r="M30" s="2">
        <v>37890</v>
      </c>
      <c r="N30" s="2">
        <v>25234</v>
      </c>
      <c r="O30" s="2">
        <v>5012</v>
      </c>
      <c r="P30" s="2">
        <v>1423</v>
      </c>
      <c r="Q30" s="2">
        <v>267</v>
      </c>
    </row>
    <row r="31" spans="1:17" ht="15.75" customHeight="1" x14ac:dyDescent="0.2">
      <c r="A31" s="2" t="s">
        <v>38</v>
      </c>
      <c r="B31" s="2" t="s">
        <v>100</v>
      </c>
      <c r="C31" s="2" t="s">
        <v>101</v>
      </c>
      <c r="D31" s="2" t="s">
        <v>102</v>
      </c>
      <c r="E31" s="2" t="s">
        <v>103</v>
      </c>
      <c r="F31" s="2">
        <v>223456</v>
      </c>
      <c r="G31" s="2">
        <v>3567</v>
      </c>
      <c r="H31" s="2">
        <v>427.7</v>
      </c>
      <c r="I31" s="2">
        <v>30</v>
      </c>
      <c r="J31" s="2">
        <v>178901</v>
      </c>
      <c r="K31" s="2">
        <v>135234</v>
      </c>
      <c r="L31" s="2">
        <v>106789</v>
      </c>
      <c r="M31" s="2">
        <v>69234</v>
      </c>
      <c r="N31" s="2">
        <v>41789</v>
      </c>
      <c r="O31" s="2">
        <v>8234</v>
      </c>
      <c r="P31" s="2">
        <v>2267</v>
      </c>
      <c r="Q31" s="2">
        <v>534</v>
      </c>
    </row>
    <row r="32" spans="1:17" ht="15.75" customHeight="1" x14ac:dyDescent="0.2">
      <c r="A32" s="2" t="s">
        <v>39</v>
      </c>
      <c r="B32" s="2" t="s">
        <v>92</v>
      </c>
      <c r="C32" s="2" t="s">
        <v>93</v>
      </c>
      <c r="D32" s="2" t="s">
        <v>94</v>
      </c>
      <c r="E32" s="2" t="s">
        <v>95</v>
      </c>
      <c r="F32" s="2">
        <v>278901</v>
      </c>
      <c r="G32" s="2">
        <v>4123</v>
      </c>
      <c r="H32" s="2">
        <v>523.6</v>
      </c>
      <c r="I32" s="2">
        <v>42</v>
      </c>
      <c r="J32" s="2">
        <v>234567</v>
      </c>
      <c r="K32" s="2">
        <v>182345</v>
      </c>
      <c r="L32" s="2">
        <v>114567</v>
      </c>
      <c r="M32" s="2">
        <v>77234</v>
      </c>
      <c r="N32" s="2">
        <v>51234</v>
      </c>
      <c r="O32" s="2">
        <v>10345</v>
      </c>
      <c r="P32" s="2">
        <v>2789</v>
      </c>
      <c r="Q32" s="2">
        <v>656</v>
      </c>
    </row>
    <row r="33" spans="1:17" ht="15.75" customHeight="1" x14ac:dyDescent="0.2">
      <c r="A33" s="2" t="s">
        <v>39</v>
      </c>
      <c r="B33" s="2" t="s">
        <v>96</v>
      </c>
      <c r="C33" s="2" t="s">
        <v>97</v>
      </c>
      <c r="D33" s="2" t="s">
        <v>98</v>
      </c>
      <c r="E33" s="2" t="s">
        <v>99</v>
      </c>
      <c r="F33" s="2">
        <v>156789</v>
      </c>
      <c r="G33" s="2">
        <v>3012</v>
      </c>
      <c r="H33" s="2">
        <v>812.3</v>
      </c>
      <c r="I33" s="2">
        <v>82</v>
      </c>
      <c r="J33" s="2">
        <v>109876</v>
      </c>
      <c r="K33" s="2">
        <v>81234</v>
      </c>
      <c r="L33" s="2">
        <v>54678</v>
      </c>
      <c r="M33" s="2">
        <v>41234</v>
      </c>
      <c r="N33" s="2">
        <v>27567</v>
      </c>
      <c r="O33" s="2">
        <v>5456</v>
      </c>
      <c r="P33" s="2">
        <v>1567</v>
      </c>
      <c r="Q33" s="2">
        <v>289</v>
      </c>
    </row>
    <row r="34" spans="1:17" ht="15.75" customHeight="1" x14ac:dyDescent="0.2">
      <c r="A34" s="2" t="s">
        <v>39</v>
      </c>
      <c r="B34" s="2" t="s">
        <v>100</v>
      </c>
      <c r="C34" s="2" t="s">
        <v>101</v>
      </c>
      <c r="D34" s="2" t="s">
        <v>102</v>
      </c>
      <c r="E34" s="2" t="s">
        <v>103</v>
      </c>
      <c r="F34" s="2">
        <v>234567</v>
      </c>
      <c r="G34" s="2">
        <v>3789</v>
      </c>
      <c r="H34" s="2">
        <v>456.8</v>
      </c>
      <c r="I34" s="2">
        <v>33</v>
      </c>
      <c r="J34" s="2">
        <v>189234</v>
      </c>
      <c r="K34" s="2">
        <v>143567</v>
      </c>
      <c r="L34" s="2">
        <v>113456</v>
      </c>
      <c r="M34" s="2">
        <v>73456</v>
      </c>
      <c r="N34" s="2">
        <v>44567</v>
      </c>
      <c r="O34" s="2">
        <v>8789</v>
      </c>
      <c r="P34" s="2">
        <v>2434</v>
      </c>
      <c r="Q34" s="2">
        <v>567</v>
      </c>
    </row>
    <row r="35" spans="1:17" ht="15.75" customHeight="1" x14ac:dyDescent="0.2">
      <c r="A35" s="2" t="s">
        <v>39</v>
      </c>
      <c r="B35" s="2" t="s">
        <v>104</v>
      </c>
      <c r="C35" s="2" t="s">
        <v>105</v>
      </c>
      <c r="D35" s="2" t="s">
        <v>106</v>
      </c>
      <c r="E35" s="2" t="s">
        <v>107</v>
      </c>
      <c r="F35" s="2">
        <v>412345</v>
      </c>
      <c r="G35" s="2">
        <v>6789</v>
      </c>
      <c r="H35" s="2">
        <v>1023.4</v>
      </c>
      <c r="I35" s="2">
        <v>103</v>
      </c>
      <c r="J35" s="2">
        <v>345678</v>
      </c>
      <c r="K35" s="2">
        <v>278901</v>
      </c>
      <c r="L35" s="2">
        <v>223456</v>
      </c>
      <c r="M35" s="2">
        <v>159234</v>
      </c>
      <c r="N35" s="2">
        <v>105678</v>
      </c>
      <c r="O35" s="2">
        <v>18234</v>
      </c>
      <c r="P35" s="2">
        <v>5234</v>
      </c>
      <c r="Q35" s="2">
        <v>1456</v>
      </c>
    </row>
    <row r="36" spans="1:17" ht="15.75" customHeight="1" x14ac:dyDescent="0.2">
      <c r="A36" s="2" t="s">
        <v>40</v>
      </c>
      <c r="B36" s="2" t="s">
        <v>92</v>
      </c>
      <c r="C36" s="2" t="s">
        <v>93</v>
      </c>
      <c r="D36" s="2" t="s">
        <v>94</v>
      </c>
      <c r="E36" s="2" t="s">
        <v>95</v>
      </c>
      <c r="F36" s="2">
        <v>267890</v>
      </c>
      <c r="G36" s="2">
        <v>3945</v>
      </c>
      <c r="H36" s="2">
        <v>501.2</v>
      </c>
      <c r="I36" s="2">
        <v>40</v>
      </c>
      <c r="J36" s="2">
        <v>221234</v>
      </c>
      <c r="K36" s="2">
        <v>173456</v>
      </c>
      <c r="L36" s="2">
        <v>109234</v>
      </c>
      <c r="M36" s="2">
        <v>73567</v>
      </c>
      <c r="N36" s="2">
        <v>49234</v>
      </c>
      <c r="O36" s="2">
        <v>9789</v>
      </c>
      <c r="P36" s="2">
        <v>2634</v>
      </c>
      <c r="Q36" s="2">
        <v>623</v>
      </c>
    </row>
    <row r="37" spans="1:17" ht="15.75" customHeight="1" x14ac:dyDescent="0.2">
      <c r="A37" s="2" t="s">
        <v>40</v>
      </c>
      <c r="B37" s="2" t="s">
        <v>96</v>
      </c>
      <c r="C37" s="2" t="s">
        <v>97</v>
      </c>
      <c r="D37" s="2" t="s">
        <v>98</v>
      </c>
      <c r="E37" s="2" t="s">
        <v>99</v>
      </c>
      <c r="F37" s="2">
        <v>148901</v>
      </c>
      <c r="G37" s="2">
        <v>2834</v>
      </c>
      <c r="H37" s="2">
        <v>767.5</v>
      </c>
      <c r="I37" s="2">
        <v>77</v>
      </c>
      <c r="J37" s="2">
        <v>103456</v>
      </c>
      <c r="K37" s="2">
        <v>76234</v>
      </c>
      <c r="L37" s="2">
        <v>51234</v>
      </c>
      <c r="M37" s="2">
        <v>38567</v>
      </c>
      <c r="N37" s="2">
        <v>25789</v>
      </c>
      <c r="O37" s="2">
        <v>5123</v>
      </c>
      <c r="P37" s="2">
        <v>1456</v>
      </c>
      <c r="Q37" s="2">
        <v>278</v>
      </c>
    </row>
    <row r="38" spans="1:17" ht="15.75" customHeight="1" x14ac:dyDescent="0.2">
      <c r="A38" s="2" t="s">
        <v>40</v>
      </c>
      <c r="B38" s="2" t="s">
        <v>100</v>
      </c>
      <c r="C38" s="2" t="s">
        <v>101</v>
      </c>
      <c r="D38" s="2" t="s">
        <v>102</v>
      </c>
      <c r="E38" s="2" t="s">
        <v>103</v>
      </c>
      <c r="F38" s="2">
        <v>228901</v>
      </c>
      <c r="G38" s="2">
        <v>3634</v>
      </c>
      <c r="H38" s="2">
        <v>441.9</v>
      </c>
      <c r="I38" s="2">
        <v>31</v>
      </c>
      <c r="J38" s="2">
        <v>182345</v>
      </c>
      <c r="K38" s="2">
        <v>137890</v>
      </c>
      <c r="L38" s="2">
        <v>108901</v>
      </c>
      <c r="M38" s="2">
        <v>70567</v>
      </c>
      <c r="N38" s="2">
        <v>42789</v>
      </c>
      <c r="O38" s="2">
        <v>8456</v>
      </c>
      <c r="P38" s="2">
        <v>2301</v>
      </c>
      <c r="Q38" s="2">
        <v>545</v>
      </c>
    </row>
    <row r="39" spans="1:17" ht="15.75" customHeight="1" x14ac:dyDescent="0.2">
      <c r="A39" s="2" t="s">
        <v>40</v>
      </c>
      <c r="B39" s="2" t="s">
        <v>104</v>
      </c>
      <c r="C39" s="2" t="s">
        <v>105</v>
      </c>
      <c r="D39" s="2" t="s">
        <v>106</v>
      </c>
      <c r="E39" s="2" t="s">
        <v>107</v>
      </c>
      <c r="F39" s="2">
        <v>398567</v>
      </c>
      <c r="G39" s="2">
        <v>6534</v>
      </c>
      <c r="H39" s="2">
        <v>998.7</v>
      </c>
      <c r="I39" s="2">
        <v>98</v>
      </c>
      <c r="J39" s="2">
        <v>332345</v>
      </c>
      <c r="K39" s="2">
        <v>267890</v>
      </c>
      <c r="L39" s="2">
        <v>214567</v>
      </c>
      <c r="M39" s="2">
        <v>151234</v>
      </c>
      <c r="N39" s="2">
        <v>99567</v>
      </c>
      <c r="O39" s="2">
        <v>17756</v>
      </c>
      <c r="P39" s="2">
        <v>5012</v>
      </c>
      <c r="Q39" s="2">
        <v>1389</v>
      </c>
    </row>
    <row r="40" spans="1:17" ht="15.75" customHeight="1" x14ac:dyDescent="0.2">
      <c r="A40" s="2" t="s">
        <v>41</v>
      </c>
      <c r="B40" s="2" t="s">
        <v>92</v>
      </c>
      <c r="C40" s="2" t="s">
        <v>93</v>
      </c>
      <c r="D40" s="2" t="s">
        <v>94</v>
      </c>
      <c r="E40" s="2" t="s">
        <v>95</v>
      </c>
      <c r="F40" s="2">
        <v>234567</v>
      </c>
      <c r="G40" s="2">
        <v>3456</v>
      </c>
      <c r="H40" s="2">
        <v>456.7</v>
      </c>
      <c r="I40" s="2">
        <v>34</v>
      </c>
      <c r="J40" s="2">
        <v>198234</v>
      </c>
      <c r="K40" s="2">
        <v>156234</v>
      </c>
      <c r="L40" s="2">
        <v>98234</v>
      </c>
      <c r="M40" s="2">
        <v>67234</v>
      </c>
      <c r="N40" s="2">
        <v>45234</v>
      </c>
      <c r="O40" s="2">
        <v>8923</v>
      </c>
      <c r="P40" s="2">
        <v>2345</v>
      </c>
      <c r="Q40" s="2">
        <v>567</v>
      </c>
    </row>
    <row r="41" spans="1:17" ht="15.75" customHeight="1" x14ac:dyDescent="0.2">
      <c r="A41" s="2" t="s">
        <v>41</v>
      </c>
      <c r="B41" s="2" t="s">
        <v>96</v>
      </c>
      <c r="C41" s="2" t="s">
        <v>97</v>
      </c>
      <c r="D41" s="2" t="s">
        <v>98</v>
      </c>
      <c r="E41" s="2" t="s">
        <v>99</v>
      </c>
      <c r="F41" s="2">
        <v>134567</v>
      </c>
      <c r="G41" s="2">
        <v>2567</v>
      </c>
      <c r="H41" s="2">
        <v>712.3</v>
      </c>
      <c r="I41" s="2">
        <v>71</v>
      </c>
      <c r="J41" s="2">
        <v>95678</v>
      </c>
      <c r="K41" s="2">
        <v>71234</v>
      </c>
      <c r="L41" s="2">
        <v>48234</v>
      </c>
      <c r="M41" s="2">
        <v>36234</v>
      </c>
      <c r="N41" s="2">
        <v>24567</v>
      </c>
      <c r="O41" s="2">
        <v>4789</v>
      </c>
      <c r="P41" s="2">
        <v>1345</v>
      </c>
      <c r="Q41" s="2">
        <v>245</v>
      </c>
    </row>
    <row r="42" spans="1:17" ht="15.75" customHeight="1" x14ac:dyDescent="0.2">
      <c r="A42" s="2" t="s">
        <v>41</v>
      </c>
      <c r="B42" s="2" t="s">
        <v>100</v>
      </c>
      <c r="C42" s="2" t="s">
        <v>101</v>
      </c>
      <c r="D42" s="2" t="s">
        <v>102</v>
      </c>
      <c r="E42" s="2" t="s">
        <v>103</v>
      </c>
      <c r="F42" s="2">
        <v>201234</v>
      </c>
      <c r="G42" s="2">
        <v>3123</v>
      </c>
      <c r="H42" s="2">
        <v>374.5</v>
      </c>
      <c r="I42" s="2">
        <v>26</v>
      </c>
      <c r="J42" s="2">
        <v>157890</v>
      </c>
      <c r="K42" s="2">
        <v>121234</v>
      </c>
      <c r="L42" s="2">
        <v>96234</v>
      </c>
      <c r="M42" s="2">
        <v>61234</v>
      </c>
      <c r="N42" s="2">
        <v>37456</v>
      </c>
      <c r="O42" s="2">
        <v>7345</v>
      </c>
      <c r="P42" s="2">
        <v>2034</v>
      </c>
      <c r="Q42" s="2">
        <v>489</v>
      </c>
    </row>
    <row r="43" spans="1:17" ht="15.75" customHeight="1" x14ac:dyDescent="0.2">
      <c r="A43" s="2" t="s">
        <v>41</v>
      </c>
      <c r="B43" s="2" t="s">
        <v>104</v>
      </c>
      <c r="C43" s="2" t="s">
        <v>105</v>
      </c>
      <c r="D43" s="2" t="s">
        <v>106</v>
      </c>
      <c r="E43" s="2" t="s">
        <v>107</v>
      </c>
      <c r="F43" s="2">
        <v>367890</v>
      </c>
      <c r="G43" s="2">
        <v>6012</v>
      </c>
      <c r="H43" s="2">
        <v>923.4</v>
      </c>
      <c r="I43" s="2">
        <v>94</v>
      </c>
      <c r="J43" s="2">
        <v>301234</v>
      </c>
      <c r="K43" s="2">
        <v>245678</v>
      </c>
      <c r="L43" s="2">
        <v>196789</v>
      </c>
      <c r="M43" s="2">
        <v>140234</v>
      </c>
      <c r="N43" s="2">
        <v>93456</v>
      </c>
      <c r="O43" s="2">
        <v>16234</v>
      </c>
      <c r="P43" s="2">
        <v>4789</v>
      </c>
      <c r="Q43" s="2">
        <v>1289</v>
      </c>
    </row>
    <row r="44" spans="1:17" ht="15.75" customHeight="1" x14ac:dyDescent="0.2">
      <c r="A44" s="2" t="s">
        <v>42</v>
      </c>
      <c r="B44" s="2" t="s">
        <v>92</v>
      </c>
      <c r="C44" s="2" t="s">
        <v>93</v>
      </c>
      <c r="D44" s="2" t="s">
        <v>94</v>
      </c>
      <c r="E44" s="2" t="s">
        <v>95</v>
      </c>
      <c r="F44" s="2">
        <v>223456</v>
      </c>
      <c r="G44" s="2">
        <v>3234</v>
      </c>
      <c r="H44" s="2">
        <v>434.5</v>
      </c>
      <c r="I44" s="2">
        <v>32</v>
      </c>
      <c r="J44" s="2">
        <v>189234</v>
      </c>
      <c r="K44" s="2">
        <v>148234</v>
      </c>
      <c r="L44" s="2">
        <v>93234</v>
      </c>
      <c r="M44" s="2">
        <v>63456</v>
      </c>
      <c r="N44" s="2">
        <v>43234</v>
      </c>
      <c r="O44" s="2">
        <v>8567</v>
      </c>
      <c r="P44" s="2">
        <v>2234</v>
      </c>
      <c r="Q44" s="2">
        <v>534</v>
      </c>
    </row>
    <row r="45" spans="1:17" ht="15.75" customHeight="1" x14ac:dyDescent="0.2">
      <c r="A45" s="2" t="s">
        <v>42</v>
      </c>
      <c r="B45" s="2" t="s">
        <v>96</v>
      </c>
      <c r="C45" s="2" t="s">
        <v>97</v>
      </c>
      <c r="D45" s="2" t="s">
        <v>98</v>
      </c>
      <c r="E45" s="2" t="s">
        <v>99</v>
      </c>
      <c r="F45" s="2">
        <v>128901</v>
      </c>
      <c r="G45" s="2">
        <v>2456</v>
      </c>
      <c r="H45" s="2">
        <v>689.5</v>
      </c>
      <c r="I45" s="2">
        <v>68</v>
      </c>
      <c r="J45" s="2">
        <v>91234</v>
      </c>
      <c r="K45" s="2">
        <v>68234</v>
      </c>
      <c r="L45" s="2">
        <v>45789</v>
      </c>
      <c r="M45" s="2">
        <v>34567</v>
      </c>
      <c r="N45" s="2">
        <v>23678</v>
      </c>
      <c r="O45" s="2">
        <v>4678</v>
      </c>
      <c r="P45" s="2">
        <v>1267</v>
      </c>
      <c r="Q45" s="2">
        <v>237</v>
      </c>
    </row>
    <row r="46" spans="1:17" ht="15.75" customHeight="1" x14ac:dyDescent="0.2">
      <c r="A46" s="2" t="s">
        <v>42</v>
      </c>
      <c r="B46" s="2" t="s">
        <v>100</v>
      </c>
      <c r="C46" s="2" t="s">
        <v>101</v>
      </c>
      <c r="D46" s="2" t="s">
        <v>102</v>
      </c>
      <c r="E46" s="2" t="s">
        <v>103</v>
      </c>
      <c r="F46" s="2">
        <v>195678</v>
      </c>
      <c r="G46" s="2">
        <v>2989</v>
      </c>
      <c r="H46" s="2">
        <v>361.2</v>
      </c>
      <c r="I46" s="2">
        <v>25</v>
      </c>
      <c r="J46" s="2">
        <v>152345</v>
      </c>
      <c r="K46" s="2">
        <v>117234</v>
      </c>
      <c r="L46" s="2">
        <v>93234</v>
      </c>
      <c r="M46" s="2">
        <v>59234</v>
      </c>
      <c r="N46" s="2">
        <v>36234</v>
      </c>
      <c r="O46" s="2">
        <v>7123</v>
      </c>
      <c r="P46" s="2">
        <v>1967</v>
      </c>
      <c r="Q46" s="2">
        <v>478</v>
      </c>
    </row>
    <row r="47" spans="1:17" ht="15.75" customHeight="1" x14ac:dyDescent="0.2">
      <c r="A47" s="2" t="s">
        <v>42</v>
      </c>
      <c r="B47" s="2" t="s">
        <v>104</v>
      </c>
      <c r="C47" s="2" t="s">
        <v>105</v>
      </c>
      <c r="D47" s="2" t="s">
        <v>106</v>
      </c>
      <c r="E47" s="2" t="s">
        <v>107</v>
      </c>
      <c r="F47" s="2">
        <v>356789</v>
      </c>
      <c r="G47" s="2">
        <v>5834</v>
      </c>
      <c r="H47" s="2">
        <v>901.2</v>
      </c>
      <c r="I47" s="2">
        <v>91</v>
      </c>
      <c r="J47" s="2">
        <v>293456</v>
      </c>
      <c r="K47" s="2">
        <v>239234</v>
      </c>
      <c r="L47" s="2">
        <v>191234</v>
      </c>
      <c r="M47" s="2">
        <v>136234</v>
      </c>
      <c r="N47" s="2">
        <v>90234</v>
      </c>
      <c r="O47" s="2">
        <v>15890</v>
      </c>
      <c r="P47" s="2">
        <v>4634</v>
      </c>
      <c r="Q47" s="2">
        <v>1256</v>
      </c>
    </row>
    <row r="48" spans="1:17" ht="15.75" customHeight="1" x14ac:dyDescent="0.2">
      <c r="A48" s="2" t="s">
        <v>43</v>
      </c>
      <c r="B48" s="2" t="s">
        <v>92</v>
      </c>
      <c r="C48" s="2" t="s">
        <v>93</v>
      </c>
      <c r="D48" s="2" t="s">
        <v>94</v>
      </c>
      <c r="E48" s="2" t="s">
        <v>95</v>
      </c>
      <c r="F48" s="2">
        <v>246789</v>
      </c>
      <c r="G48" s="2">
        <v>3678</v>
      </c>
      <c r="H48" s="2">
        <v>478.9</v>
      </c>
      <c r="I48" s="2">
        <v>36</v>
      </c>
      <c r="J48" s="2">
        <v>207345</v>
      </c>
      <c r="K48" s="2">
        <v>163456</v>
      </c>
      <c r="L48" s="2">
        <v>102345</v>
      </c>
      <c r="M48" s="2">
        <v>70234</v>
      </c>
      <c r="N48" s="2">
        <v>47234</v>
      </c>
      <c r="O48" s="2">
        <v>9234</v>
      </c>
      <c r="P48" s="2">
        <v>2456</v>
      </c>
      <c r="Q48" s="2">
        <v>589</v>
      </c>
    </row>
    <row r="49" spans="1:17" ht="15.75" customHeight="1" x14ac:dyDescent="0.2">
      <c r="A49" s="2" t="s">
        <v>43</v>
      </c>
      <c r="B49" s="2" t="s">
        <v>96</v>
      </c>
      <c r="C49" s="2" t="s">
        <v>97</v>
      </c>
      <c r="D49" s="2" t="s">
        <v>98</v>
      </c>
      <c r="E49" s="2" t="s">
        <v>99</v>
      </c>
      <c r="F49" s="2">
        <v>142345</v>
      </c>
      <c r="G49" s="2">
        <v>2678</v>
      </c>
      <c r="H49" s="2">
        <v>734.5</v>
      </c>
      <c r="I49" s="2">
        <v>73</v>
      </c>
      <c r="J49" s="2">
        <v>97890</v>
      </c>
      <c r="K49" s="2">
        <v>72345</v>
      </c>
      <c r="L49" s="2">
        <v>48901</v>
      </c>
      <c r="M49" s="2">
        <v>36789</v>
      </c>
      <c r="N49" s="2">
        <v>24890</v>
      </c>
      <c r="O49" s="2">
        <v>4901</v>
      </c>
      <c r="P49" s="2">
        <v>1356</v>
      </c>
      <c r="Q49" s="2">
        <v>256</v>
      </c>
    </row>
    <row r="50" spans="1:17" ht="15.75" customHeight="1" x14ac:dyDescent="0.2">
      <c r="A50" s="2" t="s">
        <v>43</v>
      </c>
      <c r="B50" s="2" t="s">
        <v>100</v>
      </c>
      <c r="C50" s="2" t="s">
        <v>101</v>
      </c>
      <c r="D50" s="2" t="s">
        <v>102</v>
      </c>
      <c r="E50" s="2" t="s">
        <v>103</v>
      </c>
      <c r="F50" s="2">
        <v>212345</v>
      </c>
      <c r="G50" s="2">
        <v>3345</v>
      </c>
      <c r="H50" s="2">
        <v>401.1</v>
      </c>
      <c r="I50" s="2">
        <v>28</v>
      </c>
      <c r="J50" s="2">
        <v>167890</v>
      </c>
      <c r="K50" s="2">
        <v>128234</v>
      </c>
      <c r="L50" s="2">
        <v>101234</v>
      </c>
      <c r="M50" s="2">
        <v>65234</v>
      </c>
      <c r="N50" s="2">
        <v>39456</v>
      </c>
      <c r="O50" s="2">
        <v>7789</v>
      </c>
      <c r="P50" s="2">
        <v>2145</v>
      </c>
      <c r="Q50" s="2">
        <v>512</v>
      </c>
    </row>
    <row r="51" spans="1:17" ht="15.75" customHeight="1" x14ac:dyDescent="0.2">
      <c r="A51" s="2" t="s">
        <v>43</v>
      </c>
      <c r="B51" s="2" t="s">
        <v>104</v>
      </c>
      <c r="C51" s="2" t="s">
        <v>105</v>
      </c>
      <c r="D51" s="2" t="s">
        <v>106</v>
      </c>
      <c r="E51" s="2" t="s">
        <v>107</v>
      </c>
      <c r="F51" s="2">
        <v>378901</v>
      </c>
      <c r="G51" s="2">
        <v>6123</v>
      </c>
      <c r="H51" s="2">
        <v>945.6</v>
      </c>
      <c r="I51" s="2">
        <v>96</v>
      </c>
      <c r="J51" s="2">
        <v>312345</v>
      </c>
      <c r="K51" s="2">
        <v>251234</v>
      </c>
      <c r="L51" s="2">
        <v>201234</v>
      </c>
      <c r="M51" s="2">
        <v>143456</v>
      </c>
      <c r="N51" s="2">
        <v>95234</v>
      </c>
      <c r="O51" s="2">
        <v>16567</v>
      </c>
      <c r="P51" s="2">
        <v>4823</v>
      </c>
      <c r="Q51" s="2">
        <v>1312</v>
      </c>
    </row>
    <row r="52" spans="1:17" ht="15.75" customHeight="1" x14ac:dyDescent="0.2">
      <c r="A52" s="2" t="s">
        <v>44</v>
      </c>
      <c r="B52" s="2" t="s">
        <v>92</v>
      </c>
      <c r="C52" s="2" t="s">
        <v>93</v>
      </c>
      <c r="D52" s="2" t="s">
        <v>94</v>
      </c>
      <c r="E52" s="2" t="s">
        <v>95</v>
      </c>
      <c r="F52" s="2">
        <v>289012</v>
      </c>
      <c r="G52" s="2">
        <v>4234</v>
      </c>
      <c r="H52" s="2">
        <v>556.70000000000005</v>
      </c>
      <c r="I52" s="2">
        <v>43</v>
      </c>
      <c r="J52" s="2">
        <v>234567</v>
      </c>
      <c r="K52" s="2">
        <v>182345</v>
      </c>
      <c r="L52" s="2">
        <v>114567</v>
      </c>
      <c r="M52" s="2">
        <v>77234</v>
      </c>
      <c r="N52" s="2">
        <v>51234</v>
      </c>
      <c r="O52" s="2">
        <v>10345</v>
      </c>
      <c r="P52" s="2">
        <v>2789</v>
      </c>
      <c r="Q52" s="2">
        <v>656</v>
      </c>
    </row>
    <row r="53" spans="1:17" ht="15.75" customHeight="1" x14ac:dyDescent="0.2">
      <c r="A53" s="2" t="s">
        <v>44</v>
      </c>
      <c r="B53" s="2" t="s">
        <v>96</v>
      </c>
      <c r="C53" s="2" t="s">
        <v>97</v>
      </c>
      <c r="D53" s="2" t="s">
        <v>98</v>
      </c>
      <c r="E53" s="2" t="s">
        <v>99</v>
      </c>
      <c r="F53" s="2">
        <v>156789</v>
      </c>
      <c r="G53" s="2">
        <v>3012</v>
      </c>
      <c r="H53" s="2">
        <v>812.3</v>
      </c>
      <c r="I53" s="2">
        <v>82</v>
      </c>
      <c r="J53" s="2">
        <v>109876</v>
      </c>
      <c r="K53" s="2">
        <v>81234</v>
      </c>
      <c r="L53" s="2">
        <v>54678</v>
      </c>
      <c r="M53" s="2">
        <v>41234</v>
      </c>
      <c r="N53" s="2">
        <v>27567</v>
      </c>
      <c r="O53" s="2">
        <v>5456</v>
      </c>
      <c r="P53" s="2">
        <v>1567</v>
      </c>
      <c r="Q53" s="2">
        <v>289</v>
      </c>
    </row>
    <row r="54" spans="1:17" ht="15.75" customHeight="1" x14ac:dyDescent="0.2">
      <c r="A54" s="2" t="s">
        <v>44</v>
      </c>
      <c r="B54" s="2" t="s">
        <v>100</v>
      </c>
      <c r="C54" s="2" t="s">
        <v>101</v>
      </c>
      <c r="D54" s="2" t="s">
        <v>102</v>
      </c>
      <c r="E54" s="2" t="s">
        <v>103</v>
      </c>
      <c r="F54" s="2">
        <v>245678</v>
      </c>
      <c r="G54" s="2">
        <v>3890</v>
      </c>
      <c r="H54" s="2">
        <v>467.8</v>
      </c>
      <c r="I54" s="2">
        <v>34</v>
      </c>
      <c r="J54" s="2">
        <v>195678</v>
      </c>
      <c r="K54" s="2">
        <v>148234</v>
      </c>
      <c r="L54" s="2">
        <v>117234</v>
      </c>
      <c r="M54" s="2">
        <v>75234</v>
      </c>
      <c r="N54" s="2">
        <v>45789</v>
      </c>
      <c r="O54" s="2">
        <v>8567</v>
      </c>
      <c r="P54" s="2">
        <v>2345</v>
      </c>
      <c r="Q54" s="2">
        <v>567</v>
      </c>
    </row>
    <row r="55" spans="1:17" ht="15.75" customHeight="1" x14ac:dyDescent="0.2">
      <c r="A55" s="2" t="s">
        <v>44</v>
      </c>
      <c r="B55" s="2" t="s">
        <v>104</v>
      </c>
      <c r="C55" s="2" t="s">
        <v>105</v>
      </c>
      <c r="D55" s="2" t="s">
        <v>106</v>
      </c>
      <c r="E55" s="2" t="s">
        <v>107</v>
      </c>
      <c r="F55" s="2">
        <v>423456</v>
      </c>
      <c r="G55" s="2">
        <v>6890</v>
      </c>
      <c r="H55" s="2">
        <v>1056.8</v>
      </c>
      <c r="I55" s="2">
        <v>107</v>
      </c>
      <c r="J55" s="2">
        <v>356789</v>
      </c>
      <c r="K55" s="2">
        <v>289234</v>
      </c>
      <c r="L55" s="2">
        <v>231456</v>
      </c>
      <c r="M55" s="2">
        <v>164567</v>
      </c>
      <c r="N55" s="2">
        <v>109234</v>
      </c>
      <c r="O55" s="2">
        <v>18890</v>
      </c>
      <c r="P55" s="2">
        <v>5456</v>
      </c>
      <c r="Q55" s="2">
        <v>1489</v>
      </c>
    </row>
    <row r="56" spans="1:17" ht="15.75" customHeight="1" x14ac:dyDescent="0.2">
      <c r="A56" s="2" t="s">
        <v>45</v>
      </c>
      <c r="B56" s="2" t="s">
        <v>92</v>
      </c>
      <c r="C56" s="2" t="s">
        <v>93</v>
      </c>
      <c r="D56" s="2" t="s">
        <v>94</v>
      </c>
      <c r="E56" s="2" t="s">
        <v>95</v>
      </c>
      <c r="F56" s="2">
        <v>301234</v>
      </c>
      <c r="G56" s="2">
        <v>4456</v>
      </c>
      <c r="H56" s="2">
        <v>589.9</v>
      </c>
      <c r="I56" s="2">
        <v>46</v>
      </c>
      <c r="J56" s="2">
        <v>245678</v>
      </c>
      <c r="K56" s="2">
        <v>191234</v>
      </c>
      <c r="L56" s="2">
        <v>119234</v>
      </c>
      <c r="M56" s="2">
        <v>80234</v>
      </c>
      <c r="N56" s="2">
        <v>53456</v>
      </c>
      <c r="O56" s="2">
        <v>10789</v>
      </c>
      <c r="P56" s="2">
        <v>2901</v>
      </c>
      <c r="Q56" s="2">
        <v>689</v>
      </c>
    </row>
    <row r="57" spans="1:17" ht="15.75" customHeight="1" x14ac:dyDescent="0.2">
      <c r="A57" s="2" t="s">
        <v>45</v>
      </c>
      <c r="B57" s="2" t="s">
        <v>96</v>
      </c>
      <c r="C57" s="2" t="s">
        <v>97</v>
      </c>
      <c r="D57" s="2" t="s">
        <v>98</v>
      </c>
      <c r="E57" s="2" t="s">
        <v>99</v>
      </c>
      <c r="F57" s="2">
        <v>167890</v>
      </c>
      <c r="G57" s="2">
        <v>3234</v>
      </c>
      <c r="H57" s="2">
        <v>845.6</v>
      </c>
      <c r="I57" s="2">
        <v>85</v>
      </c>
      <c r="J57" s="2">
        <v>117890</v>
      </c>
      <c r="K57" s="2">
        <v>87234</v>
      </c>
      <c r="L57" s="2">
        <v>58901</v>
      </c>
      <c r="M57" s="2">
        <v>44234</v>
      </c>
      <c r="N57" s="2">
        <v>29567</v>
      </c>
      <c r="O57" s="2">
        <v>5678</v>
      </c>
      <c r="P57" s="2">
        <v>1634</v>
      </c>
      <c r="Q57" s="2">
        <v>312</v>
      </c>
    </row>
    <row r="58" spans="1:17" ht="15.75" customHeight="1" x14ac:dyDescent="0.2">
      <c r="A58" s="2" t="s">
        <v>45</v>
      </c>
      <c r="B58" s="2" t="s">
        <v>100</v>
      </c>
      <c r="C58" s="2" t="s">
        <v>101</v>
      </c>
      <c r="D58" s="2" t="s">
        <v>102</v>
      </c>
      <c r="E58" s="2" t="s">
        <v>103</v>
      </c>
      <c r="F58" s="2">
        <v>256789</v>
      </c>
      <c r="G58" s="2">
        <v>4012</v>
      </c>
      <c r="H58" s="2">
        <v>489.2</v>
      </c>
      <c r="I58" s="2">
        <v>36</v>
      </c>
      <c r="J58" s="2">
        <v>201234</v>
      </c>
      <c r="K58" s="2">
        <v>152345</v>
      </c>
      <c r="L58" s="2">
        <v>120456</v>
      </c>
      <c r="M58" s="2">
        <v>77890</v>
      </c>
      <c r="N58" s="2">
        <v>47234</v>
      </c>
      <c r="O58" s="2">
        <v>8901</v>
      </c>
      <c r="P58" s="2">
        <v>2456</v>
      </c>
      <c r="Q58" s="2">
        <v>589</v>
      </c>
    </row>
    <row r="59" spans="1:17" ht="15.75" customHeight="1" x14ac:dyDescent="0.2">
      <c r="A59" s="2" t="s">
        <v>45</v>
      </c>
      <c r="B59" s="2" t="s">
        <v>104</v>
      </c>
      <c r="C59" s="2" t="s">
        <v>105</v>
      </c>
      <c r="D59" s="2" t="s">
        <v>106</v>
      </c>
      <c r="E59" s="2" t="s">
        <v>107</v>
      </c>
      <c r="F59" s="2">
        <v>445678</v>
      </c>
      <c r="G59" s="2">
        <v>7234</v>
      </c>
      <c r="H59" s="2">
        <v>1123.5</v>
      </c>
      <c r="I59" s="2">
        <v>113</v>
      </c>
      <c r="J59" s="2">
        <v>378901</v>
      </c>
      <c r="K59" s="2">
        <v>304567</v>
      </c>
      <c r="L59" s="2">
        <v>243456</v>
      </c>
      <c r="M59" s="2">
        <v>172345</v>
      </c>
      <c r="N59" s="2">
        <v>114567</v>
      </c>
      <c r="O59" s="2">
        <v>19567</v>
      </c>
      <c r="P59" s="2">
        <v>5678</v>
      </c>
      <c r="Q59" s="2">
        <v>1567</v>
      </c>
    </row>
    <row r="60" spans="1:17" ht="15.75" customHeight="1" x14ac:dyDescent="0.2">
      <c r="A60" s="2" t="s">
        <v>46</v>
      </c>
      <c r="B60" s="2" t="s">
        <v>92</v>
      </c>
      <c r="C60" s="2" t="s">
        <v>93</v>
      </c>
      <c r="D60" s="2" t="s">
        <v>94</v>
      </c>
      <c r="E60" s="2" t="s">
        <v>95</v>
      </c>
      <c r="F60" s="2">
        <v>290123</v>
      </c>
      <c r="G60" s="2">
        <v>4189</v>
      </c>
      <c r="H60" s="2">
        <v>567.79999999999995</v>
      </c>
      <c r="I60" s="2">
        <v>44</v>
      </c>
      <c r="J60" s="2">
        <v>236789</v>
      </c>
      <c r="K60" s="2">
        <v>184567</v>
      </c>
      <c r="L60" s="2">
        <v>115678</v>
      </c>
      <c r="M60" s="2">
        <v>78234</v>
      </c>
      <c r="N60" s="2">
        <v>52345</v>
      </c>
      <c r="O60" s="2">
        <v>10456</v>
      </c>
      <c r="P60" s="2">
        <v>2812</v>
      </c>
      <c r="Q60" s="2">
        <v>678</v>
      </c>
    </row>
    <row r="61" spans="1:17" ht="15.75" customHeight="1" x14ac:dyDescent="0.2">
      <c r="A61" s="2" t="s">
        <v>46</v>
      </c>
      <c r="B61" s="2" t="s">
        <v>96</v>
      </c>
      <c r="C61" s="2" t="s">
        <v>97</v>
      </c>
      <c r="D61" s="2" t="s">
        <v>98</v>
      </c>
      <c r="E61" s="2" t="s">
        <v>99</v>
      </c>
      <c r="F61" s="2">
        <v>161234</v>
      </c>
      <c r="G61" s="2">
        <v>3089</v>
      </c>
      <c r="H61" s="2">
        <v>823.7</v>
      </c>
      <c r="I61" s="2">
        <v>83</v>
      </c>
      <c r="J61" s="2">
        <v>113456</v>
      </c>
      <c r="K61" s="2">
        <v>83567</v>
      </c>
      <c r="L61" s="2">
        <v>56234</v>
      </c>
      <c r="M61" s="2">
        <v>42345</v>
      </c>
      <c r="N61" s="2">
        <v>28234</v>
      </c>
      <c r="O61" s="2">
        <v>5523</v>
      </c>
      <c r="P61" s="2">
        <v>1589</v>
      </c>
      <c r="Q61" s="2">
        <v>301</v>
      </c>
    </row>
    <row r="62" spans="1:17" ht="15.75" customHeight="1" x14ac:dyDescent="0.2">
      <c r="A62" s="2" t="s">
        <v>46</v>
      </c>
      <c r="B62" s="2" t="s">
        <v>100</v>
      </c>
      <c r="C62" s="2" t="s">
        <v>101</v>
      </c>
      <c r="D62" s="2" t="s">
        <v>102</v>
      </c>
      <c r="E62" s="2" t="s">
        <v>103</v>
      </c>
      <c r="F62" s="2">
        <v>248901</v>
      </c>
      <c r="G62" s="2">
        <v>3934</v>
      </c>
      <c r="H62" s="2">
        <v>478.5</v>
      </c>
      <c r="I62" s="2">
        <v>35</v>
      </c>
      <c r="J62" s="2">
        <v>195234</v>
      </c>
      <c r="K62" s="2">
        <v>148901</v>
      </c>
      <c r="L62" s="2">
        <v>117890</v>
      </c>
      <c r="M62" s="2">
        <v>76234</v>
      </c>
      <c r="N62" s="2">
        <v>46234</v>
      </c>
      <c r="O62" s="2">
        <v>8734</v>
      </c>
      <c r="P62" s="2">
        <v>2401</v>
      </c>
      <c r="Q62" s="2">
        <v>578</v>
      </c>
    </row>
    <row r="63" spans="1:17" ht="15.75" customHeight="1" x14ac:dyDescent="0.2">
      <c r="A63" s="2" t="s">
        <v>46</v>
      </c>
      <c r="B63" s="2" t="s">
        <v>104</v>
      </c>
      <c r="C63" s="2" t="s">
        <v>105</v>
      </c>
      <c r="D63" s="2" t="s">
        <v>106</v>
      </c>
      <c r="E63" s="2" t="s">
        <v>107</v>
      </c>
      <c r="F63" s="2">
        <v>434567</v>
      </c>
      <c r="G63" s="2">
        <v>7012</v>
      </c>
      <c r="H63" s="2">
        <v>1089.3</v>
      </c>
      <c r="I63" s="2">
        <v>109</v>
      </c>
      <c r="J63" s="2">
        <v>367890</v>
      </c>
      <c r="K63" s="2">
        <v>296234</v>
      </c>
      <c r="L63" s="2">
        <v>237890</v>
      </c>
      <c r="M63" s="2">
        <v>168234</v>
      </c>
      <c r="N63" s="2">
        <v>111234</v>
      </c>
      <c r="O63" s="2">
        <v>19234</v>
      </c>
      <c r="P63" s="2">
        <v>5534</v>
      </c>
      <c r="Q63" s="2">
        <v>1523</v>
      </c>
    </row>
    <row r="64" spans="1:17" ht="15.75" customHeight="1" x14ac:dyDescent="0.2">
      <c r="A64" s="2" t="s">
        <v>47</v>
      </c>
      <c r="B64" s="2" t="s">
        <v>92</v>
      </c>
      <c r="C64" s="2" t="s">
        <v>93</v>
      </c>
      <c r="D64" s="2" t="s">
        <v>94</v>
      </c>
      <c r="E64" s="2" t="s">
        <v>95</v>
      </c>
      <c r="F64" s="2">
        <v>278901</v>
      </c>
      <c r="G64" s="2">
        <v>4123</v>
      </c>
      <c r="H64" s="2">
        <v>545.6</v>
      </c>
      <c r="I64" s="2">
        <v>42</v>
      </c>
      <c r="J64" s="2">
        <v>229234</v>
      </c>
      <c r="K64" s="2">
        <v>179234</v>
      </c>
      <c r="L64" s="2">
        <v>112234</v>
      </c>
      <c r="M64" s="2">
        <v>75678</v>
      </c>
      <c r="N64" s="2">
        <v>50234</v>
      </c>
      <c r="O64" s="2">
        <v>10123</v>
      </c>
      <c r="P64" s="2">
        <v>2712</v>
      </c>
      <c r="Q64" s="2">
        <v>645</v>
      </c>
    </row>
    <row r="65" spans="1:17" ht="15.75" customHeight="1" x14ac:dyDescent="0.2">
      <c r="A65" s="2" t="s">
        <v>47</v>
      </c>
      <c r="B65" s="2" t="s">
        <v>96</v>
      </c>
      <c r="C65" s="2" t="s">
        <v>97</v>
      </c>
      <c r="D65" s="2" t="s">
        <v>98</v>
      </c>
      <c r="E65" s="2" t="s">
        <v>99</v>
      </c>
      <c r="F65" s="2">
        <v>153456</v>
      </c>
      <c r="G65" s="2">
        <v>2945</v>
      </c>
      <c r="H65" s="2">
        <v>789.2</v>
      </c>
      <c r="I65" s="2">
        <v>79</v>
      </c>
      <c r="J65" s="2">
        <v>107890</v>
      </c>
      <c r="K65" s="2">
        <v>79567</v>
      </c>
      <c r="L65" s="2">
        <v>53678</v>
      </c>
      <c r="M65" s="2">
        <v>40234</v>
      </c>
      <c r="N65" s="2">
        <v>26890</v>
      </c>
      <c r="O65" s="2">
        <v>5234</v>
      </c>
      <c r="P65" s="2">
        <v>1456</v>
      </c>
      <c r="Q65" s="2">
        <v>278</v>
      </c>
    </row>
    <row r="66" spans="1:17" ht="15.75" customHeight="1" x14ac:dyDescent="0.2">
      <c r="A66" s="2" t="s">
        <v>47</v>
      </c>
      <c r="B66" s="2" t="s">
        <v>100</v>
      </c>
      <c r="C66" s="2" t="s">
        <v>101</v>
      </c>
      <c r="D66" s="2" t="s">
        <v>102</v>
      </c>
      <c r="E66" s="2" t="s">
        <v>103</v>
      </c>
      <c r="F66" s="2">
        <v>236789</v>
      </c>
      <c r="G66" s="2">
        <v>3734</v>
      </c>
      <c r="H66" s="2">
        <v>456.8</v>
      </c>
      <c r="I66" s="2">
        <v>33</v>
      </c>
      <c r="J66" s="2">
        <v>187890</v>
      </c>
      <c r="K66" s="2">
        <v>142345</v>
      </c>
      <c r="L66" s="2">
        <v>112345</v>
      </c>
      <c r="M66" s="2">
        <v>72345</v>
      </c>
      <c r="N66" s="2">
        <v>43789</v>
      </c>
      <c r="O66" s="2">
        <v>8456</v>
      </c>
      <c r="P66" s="2">
        <v>2267</v>
      </c>
      <c r="Q66" s="2">
        <v>545</v>
      </c>
    </row>
    <row r="67" spans="1:17" ht="15.75" customHeight="1" x14ac:dyDescent="0.2">
      <c r="A67" s="2" t="s">
        <v>47</v>
      </c>
      <c r="B67" s="2" t="s">
        <v>104</v>
      </c>
      <c r="C67" s="2" t="s">
        <v>105</v>
      </c>
      <c r="D67" s="2" t="s">
        <v>106</v>
      </c>
      <c r="E67" s="2" t="s">
        <v>107</v>
      </c>
      <c r="F67" s="2">
        <v>423456</v>
      </c>
      <c r="G67" s="2">
        <v>6789</v>
      </c>
      <c r="H67" s="2">
        <v>1034.5</v>
      </c>
      <c r="I67" s="2">
        <v>104</v>
      </c>
      <c r="J67" s="2">
        <v>356789</v>
      </c>
      <c r="K67" s="2">
        <v>287234</v>
      </c>
      <c r="L67" s="2">
        <v>229234</v>
      </c>
      <c r="M67" s="2">
        <v>162345</v>
      </c>
      <c r="N67" s="2">
        <v>107890</v>
      </c>
      <c r="O67" s="2">
        <v>18756</v>
      </c>
      <c r="P67" s="2">
        <v>5345</v>
      </c>
      <c r="Q67" s="2">
        <v>1456</v>
      </c>
    </row>
    <row r="68" spans="1:17" ht="15.75" customHeight="1" x14ac:dyDescent="0.2">
      <c r="A68" s="2" t="s">
        <v>48</v>
      </c>
      <c r="B68" s="2" t="s">
        <v>92</v>
      </c>
      <c r="C68" s="2" t="s">
        <v>93</v>
      </c>
      <c r="D68" s="2" t="s">
        <v>94</v>
      </c>
      <c r="E68" s="2" t="s">
        <v>95</v>
      </c>
      <c r="F68" s="2">
        <v>256234</v>
      </c>
      <c r="G68" s="2">
        <v>3701</v>
      </c>
      <c r="H68" s="2">
        <v>490.5</v>
      </c>
      <c r="I68" s="2">
        <v>38</v>
      </c>
      <c r="J68" s="2">
        <v>209234</v>
      </c>
      <c r="K68" s="2">
        <v>163567</v>
      </c>
      <c r="L68" s="2">
        <v>102567</v>
      </c>
      <c r="M68" s="2">
        <v>69567</v>
      </c>
      <c r="N68" s="2">
        <v>46567</v>
      </c>
      <c r="O68" s="2">
        <v>9123</v>
      </c>
      <c r="P68" s="2">
        <v>2423</v>
      </c>
      <c r="Q68" s="2">
        <v>601</v>
      </c>
    </row>
    <row r="69" spans="1:17" ht="15.75" customHeight="1" x14ac:dyDescent="0.2">
      <c r="A69" s="2" t="s">
        <v>48</v>
      </c>
      <c r="B69" s="2" t="s">
        <v>96</v>
      </c>
      <c r="C69" s="2" t="s">
        <v>97</v>
      </c>
      <c r="D69" s="2" t="s">
        <v>98</v>
      </c>
      <c r="E69" s="2" t="s">
        <v>99</v>
      </c>
      <c r="F69" s="2">
        <v>142345</v>
      </c>
      <c r="G69" s="2">
        <v>2678</v>
      </c>
      <c r="H69" s="2">
        <v>734.5</v>
      </c>
      <c r="I69" s="2">
        <v>73</v>
      </c>
      <c r="J69" s="2">
        <v>97890</v>
      </c>
      <c r="K69" s="2">
        <v>72345</v>
      </c>
      <c r="L69" s="2">
        <v>48901</v>
      </c>
      <c r="M69" s="2">
        <v>36789</v>
      </c>
      <c r="N69" s="2">
        <v>24890</v>
      </c>
      <c r="O69" s="2">
        <v>4901</v>
      </c>
      <c r="P69" s="2">
        <v>1356</v>
      </c>
      <c r="Q69" s="2">
        <v>256</v>
      </c>
    </row>
    <row r="70" spans="1:17" ht="15.75" customHeight="1" x14ac:dyDescent="0.2">
      <c r="A70" s="2" t="s">
        <v>48</v>
      </c>
      <c r="B70" s="2" t="s">
        <v>100</v>
      </c>
      <c r="C70" s="2" t="s">
        <v>101</v>
      </c>
      <c r="D70" s="2" t="s">
        <v>102</v>
      </c>
      <c r="E70" s="2" t="s">
        <v>103</v>
      </c>
      <c r="F70" s="2">
        <v>218901</v>
      </c>
      <c r="G70" s="2">
        <v>3456</v>
      </c>
      <c r="H70" s="2">
        <v>414.4</v>
      </c>
      <c r="I70" s="2">
        <v>29</v>
      </c>
      <c r="J70" s="2">
        <v>173456</v>
      </c>
      <c r="K70" s="2">
        <v>131567</v>
      </c>
      <c r="L70" s="2">
        <v>103567</v>
      </c>
      <c r="M70" s="2">
        <v>67234</v>
      </c>
      <c r="N70" s="2">
        <v>40567</v>
      </c>
      <c r="O70" s="2">
        <v>8012</v>
      </c>
      <c r="P70" s="2">
        <v>2201</v>
      </c>
      <c r="Q70" s="2">
        <v>523</v>
      </c>
    </row>
    <row r="71" spans="1:17" ht="15.75" customHeight="1" x14ac:dyDescent="0.2">
      <c r="A71" s="2" t="s">
        <v>48</v>
      </c>
      <c r="B71" s="2" t="s">
        <v>104</v>
      </c>
      <c r="C71" s="2" t="s">
        <v>105</v>
      </c>
      <c r="D71" s="2" t="s">
        <v>106</v>
      </c>
      <c r="E71" s="2" t="s">
        <v>107</v>
      </c>
      <c r="F71" s="2">
        <v>389012</v>
      </c>
      <c r="G71" s="2">
        <v>6234</v>
      </c>
      <c r="H71" s="2">
        <v>967.8</v>
      </c>
      <c r="I71" s="2">
        <v>98</v>
      </c>
      <c r="J71" s="2">
        <v>321234</v>
      </c>
      <c r="K71" s="2">
        <v>258901</v>
      </c>
      <c r="L71" s="2">
        <v>207890</v>
      </c>
      <c r="M71" s="2">
        <v>147234</v>
      </c>
      <c r="N71" s="2">
        <v>97456</v>
      </c>
      <c r="O71" s="2">
        <v>16901</v>
      </c>
      <c r="P71" s="2">
        <v>4912</v>
      </c>
      <c r="Q71" s="2">
        <v>1345</v>
      </c>
    </row>
    <row r="72" spans="1:17" ht="15.75" customHeight="1" x14ac:dyDescent="0.2">
      <c r="A72" s="2" t="s">
        <v>49</v>
      </c>
      <c r="B72" s="2" t="s">
        <v>92</v>
      </c>
      <c r="C72" s="2" t="s">
        <v>93</v>
      </c>
      <c r="D72" s="2" t="s">
        <v>94</v>
      </c>
      <c r="E72" s="2" t="s">
        <v>95</v>
      </c>
      <c r="F72" s="2">
        <v>234567</v>
      </c>
      <c r="G72" s="2">
        <v>3456</v>
      </c>
      <c r="H72" s="2">
        <v>445.7</v>
      </c>
      <c r="I72" s="2">
        <v>34</v>
      </c>
      <c r="J72" s="2">
        <v>195234</v>
      </c>
      <c r="K72" s="2">
        <v>153456</v>
      </c>
      <c r="L72" s="2">
        <v>96234</v>
      </c>
      <c r="M72" s="2">
        <v>65234</v>
      </c>
      <c r="N72" s="2">
        <v>43567</v>
      </c>
      <c r="O72" s="2">
        <v>8756</v>
      </c>
      <c r="P72" s="2">
        <v>2234</v>
      </c>
      <c r="Q72" s="2">
        <v>534</v>
      </c>
    </row>
    <row r="73" spans="1:17" ht="15.75" customHeight="1" x14ac:dyDescent="0.2">
      <c r="A73" s="2" t="s">
        <v>49</v>
      </c>
      <c r="B73" s="2" t="s">
        <v>96</v>
      </c>
      <c r="C73" s="2" t="s">
        <v>97</v>
      </c>
      <c r="D73" s="2" t="s">
        <v>98</v>
      </c>
      <c r="E73" s="2" t="s">
        <v>99</v>
      </c>
      <c r="F73" s="2">
        <v>128901</v>
      </c>
      <c r="G73" s="2">
        <v>2456</v>
      </c>
      <c r="H73" s="2">
        <v>678.9</v>
      </c>
      <c r="I73" s="2">
        <v>67</v>
      </c>
      <c r="J73" s="2">
        <v>89234</v>
      </c>
      <c r="K73" s="2">
        <v>67234</v>
      </c>
      <c r="L73" s="2">
        <v>45234</v>
      </c>
      <c r="M73" s="2">
        <v>34234</v>
      </c>
      <c r="N73" s="2">
        <v>23456</v>
      </c>
      <c r="O73" s="2">
        <v>4567</v>
      </c>
      <c r="P73" s="2">
        <v>1234</v>
      </c>
      <c r="Q73" s="2">
        <v>234</v>
      </c>
    </row>
    <row r="74" spans="1:17" ht="15.75" customHeight="1" x14ac:dyDescent="0.2">
      <c r="A74" s="2" t="s">
        <v>49</v>
      </c>
      <c r="B74" s="2" t="s">
        <v>100</v>
      </c>
      <c r="C74" s="2" t="s">
        <v>101</v>
      </c>
      <c r="D74" s="2" t="s">
        <v>102</v>
      </c>
      <c r="E74" s="2" t="s">
        <v>103</v>
      </c>
      <c r="F74" s="2">
        <v>201234</v>
      </c>
      <c r="G74" s="2">
        <v>3123</v>
      </c>
      <c r="H74" s="2">
        <v>374.5</v>
      </c>
      <c r="I74" s="2">
        <v>26</v>
      </c>
      <c r="J74" s="2">
        <v>157890</v>
      </c>
      <c r="K74" s="2">
        <v>121234</v>
      </c>
      <c r="L74" s="2">
        <v>96234</v>
      </c>
      <c r="M74" s="2">
        <v>61234</v>
      </c>
      <c r="N74" s="2">
        <v>37456</v>
      </c>
      <c r="O74" s="2">
        <v>7345</v>
      </c>
      <c r="P74" s="2">
        <v>2034</v>
      </c>
      <c r="Q74" s="2">
        <v>489</v>
      </c>
    </row>
    <row r="75" spans="1:17" ht="15.75" customHeight="1" x14ac:dyDescent="0.2">
      <c r="A75" s="2" t="s">
        <v>49</v>
      </c>
      <c r="B75" s="2" t="s">
        <v>104</v>
      </c>
      <c r="C75" s="2" t="s">
        <v>105</v>
      </c>
      <c r="D75" s="2" t="s">
        <v>106</v>
      </c>
      <c r="E75" s="2" t="s">
        <v>107</v>
      </c>
      <c r="F75" s="2">
        <v>367890</v>
      </c>
      <c r="G75" s="2">
        <v>6012</v>
      </c>
      <c r="H75" s="2">
        <v>923.4</v>
      </c>
      <c r="I75" s="2">
        <v>94</v>
      </c>
      <c r="J75" s="2">
        <v>301234</v>
      </c>
      <c r="K75" s="2">
        <v>245678</v>
      </c>
      <c r="L75" s="2">
        <v>196789</v>
      </c>
      <c r="M75" s="2">
        <v>140234</v>
      </c>
      <c r="N75" s="2">
        <v>93456</v>
      </c>
      <c r="O75" s="2">
        <v>16234</v>
      </c>
      <c r="P75" s="2">
        <v>4789</v>
      </c>
      <c r="Q75" s="2">
        <v>1289</v>
      </c>
    </row>
    <row r="76" spans="1:17" ht="15.75" customHeight="1" x14ac:dyDescent="0.2">
      <c r="A76" s="2" t="s">
        <v>50</v>
      </c>
      <c r="B76" s="2" t="s">
        <v>92</v>
      </c>
      <c r="C76" s="2" t="s">
        <v>93</v>
      </c>
      <c r="D76" s="2" t="s">
        <v>94</v>
      </c>
      <c r="E76" s="2" t="s">
        <v>95</v>
      </c>
      <c r="F76" s="2">
        <v>267890</v>
      </c>
      <c r="G76" s="2">
        <v>3945</v>
      </c>
      <c r="H76" s="2">
        <v>523.4</v>
      </c>
      <c r="I76" s="2">
        <v>40</v>
      </c>
      <c r="J76" s="2">
        <v>221234</v>
      </c>
      <c r="K76" s="2">
        <v>173456</v>
      </c>
      <c r="L76" s="2">
        <v>109234</v>
      </c>
      <c r="M76" s="2">
        <v>73567</v>
      </c>
      <c r="N76" s="2">
        <v>49234</v>
      </c>
      <c r="O76" s="2">
        <v>9789</v>
      </c>
      <c r="P76" s="2">
        <v>2634</v>
      </c>
      <c r="Q76" s="2">
        <v>623</v>
      </c>
    </row>
    <row r="77" spans="1:17" ht="15.75" customHeight="1" x14ac:dyDescent="0.2">
      <c r="A77" s="2" t="s">
        <v>50</v>
      </c>
      <c r="B77" s="2" t="s">
        <v>96</v>
      </c>
      <c r="C77" s="2" t="s">
        <v>97</v>
      </c>
      <c r="D77" s="2" t="s">
        <v>98</v>
      </c>
      <c r="E77" s="2" t="s">
        <v>99</v>
      </c>
      <c r="F77" s="2">
        <v>148901</v>
      </c>
      <c r="G77" s="2">
        <v>2834</v>
      </c>
      <c r="H77" s="2">
        <v>767.5</v>
      </c>
      <c r="I77" s="2">
        <v>77</v>
      </c>
      <c r="J77" s="2">
        <v>103456</v>
      </c>
      <c r="K77" s="2">
        <v>76234</v>
      </c>
      <c r="L77" s="2">
        <v>51234</v>
      </c>
      <c r="M77" s="2">
        <v>38567</v>
      </c>
      <c r="N77" s="2">
        <v>25789</v>
      </c>
      <c r="O77" s="2">
        <v>5123</v>
      </c>
      <c r="P77" s="2">
        <v>1456</v>
      </c>
      <c r="Q77" s="2">
        <v>278</v>
      </c>
    </row>
    <row r="78" spans="1:17" ht="15.75" customHeight="1" x14ac:dyDescent="0.2">
      <c r="A78" s="2" t="s">
        <v>50</v>
      </c>
      <c r="B78" s="2" t="s">
        <v>100</v>
      </c>
      <c r="C78" s="2" t="s">
        <v>101</v>
      </c>
      <c r="D78" s="2" t="s">
        <v>102</v>
      </c>
      <c r="E78" s="2" t="s">
        <v>103</v>
      </c>
      <c r="F78" s="2">
        <v>228901</v>
      </c>
      <c r="G78" s="2">
        <v>3634</v>
      </c>
      <c r="H78" s="2">
        <v>441.9</v>
      </c>
      <c r="I78" s="2">
        <v>31</v>
      </c>
      <c r="J78" s="2">
        <v>182345</v>
      </c>
      <c r="K78" s="2">
        <v>137890</v>
      </c>
      <c r="L78" s="2">
        <v>108901</v>
      </c>
      <c r="M78" s="2">
        <v>70567</v>
      </c>
      <c r="N78" s="2">
        <v>42789</v>
      </c>
      <c r="O78" s="2">
        <v>8456</v>
      </c>
      <c r="P78" s="2">
        <v>2301</v>
      </c>
      <c r="Q78" s="2">
        <v>545</v>
      </c>
    </row>
    <row r="79" spans="1:17" ht="15.75" customHeight="1" x14ac:dyDescent="0.2">
      <c r="A79" s="2" t="s">
        <v>50</v>
      </c>
      <c r="B79" s="2" t="s">
        <v>104</v>
      </c>
      <c r="C79" s="2" t="s">
        <v>105</v>
      </c>
      <c r="D79" s="2" t="s">
        <v>106</v>
      </c>
      <c r="E79" s="2" t="s">
        <v>107</v>
      </c>
      <c r="F79" s="2">
        <v>398567</v>
      </c>
      <c r="G79" s="2">
        <v>6534</v>
      </c>
      <c r="H79" s="2">
        <v>998.7</v>
      </c>
      <c r="I79" s="2">
        <v>98</v>
      </c>
      <c r="J79" s="2">
        <v>332345</v>
      </c>
      <c r="K79" s="2">
        <v>267890</v>
      </c>
      <c r="L79" s="2">
        <v>214567</v>
      </c>
      <c r="M79" s="2">
        <v>151234</v>
      </c>
      <c r="N79" s="2">
        <v>99567</v>
      </c>
      <c r="O79" s="2">
        <v>17756</v>
      </c>
      <c r="P79" s="2">
        <v>5012</v>
      </c>
      <c r="Q79" s="2">
        <v>1389</v>
      </c>
    </row>
    <row r="80" spans="1:17" ht="15.75" customHeight="1" x14ac:dyDescent="0.2">
      <c r="A80" s="2" t="s">
        <v>51</v>
      </c>
      <c r="B80" s="2" t="s">
        <v>92</v>
      </c>
      <c r="C80" s="2" t="s">
        <v>93</v>
      </c>
      <c r="D80" s="2" t="s">
        <v>94</v>
      </c>
      <c r="E80" s="2" t="s">
        <v>95</v>
      </c>
      <c r="F80" s="2">
        <v>289012</v>
      </c>
      <c r="G80" s="2">
        <v>4234</v>
      </c>
      <c r="H80" s="2">
        <v>556.70000000000005</v>
      </c>
      <c r="I80" s="2">
        <v>43</v>
      </c>
      <c r="J80" s="2">
        <v>234567</v>
      </c>
      <c r="K80" s="2">
        <v>182345</v>
      </c>
      <c r="L80" s="2">
        <v>114567</v>
      </c>
      <c r="M80" s="2">
        <v>77234</v>
      </c>
      <c r="N80" s="2">
        <v>51234</v>
      </c>
      <c r="O80" s="2">
        <v>10345</v>
      </c>
      <c r="P80" s="2">
        <v>2789</v>
      </c>
      <c r="Q80" s="2">
        <v>656</v>
      </c>
    </row>
    <row r="81" spans="1:17" ht="15.75" customHeight="1" x14ac:dyDescent="0.2">
      <c r="A81" s="2" t="s">
        <v>51</v>
      </c>
      <c r="B81" s="2" t="s">
        <v>96</v>
      </c>
      <c r="C81" s="2" t="s">
        <v>97</v>
      </c>
      <c r="D81" s="2" t="s">
        <v>98</v>
      </c>
      <c r="E81" s="2" t="s">
        <v>99</v>
      </c>
      <c r="F81" s="2">
        <v>156789</v>
      </c>
      <c r="G81" s="2">
        <v>3012</v>
      </c>
      <c r="H81" s="2">
        <v>812.3</v>
      </c>
      <c r="I81" s="2">
        <v>82</v>
      </c>
      <c r="J81" s="2">
        <v>109876</v>
      </c>
      <c r="K81" s="2">
        <v>81234</v>
      </c>
      <c r="L81" s="2">
        <v>54678</v>
      </c>
      <c r="M81" s="2">
        <v>41234</v>
      </c>
      <c r="N81" s="2">
        <v>27567</v>
      </c>
      <c r="O81" s="2">
        <v>5456</v>
      </c>
      <c r="P81" s="2">
        <v>1567</v>
      </c>
      <c r="Q81" s="2">
        <v>289</v>
      </c>
    </row>
    <row r="82" spans="1:17" ht="15.75" customHeight="1" x14ac:dyDescent="0.2">
      <c r="A82" s="2" t="s">
        <v>51</v>
      </c>
      <c r="B82" s="2" t="s">
        <v>100</v>
      </c>
      <c r="C82" s="2" t="s">
        <v>101</v>
      </c>
      <c r="D82" s="2" t="s">
        <v>102</v>
      </c>
      <c r="E82" s="2" t="s">
        <v>103</v>
      </c>
      <c r="F82" s="2">
        <v>245678</v>
      </c>
      <c r="G82" s="2">
        <v>3890</v>
      </c>
      <c r="H82" s="2">
        <v>467.8</v>
      </c>
      <c r="I82" s="2">
        <v>34</v>
      </c>
      <c r="J82" s="2">
        <v>195678</v>
      </c>
      <c r="K82" s="2">
        <v>148234</v>
      </c>
      <c r="L82" s="2">
        <v>117234</v>
      </c>
      <c r="M82" s="2">
        <v>75234</v>
      </c>
      <c r="N82" s="2">
        <v>45789</v>
      </c>
      <c r="O82" s="2">
        <v>8567</v>
      </c>
      <c r="P82" s="2">
        <v>2345</v>
      </c>
      <c r="Q82" s="2">
        <v>567</v>
      </c>
    </row>
    <row r="83" spans="1:17" ht="15.75" customHeight="1" x14ac:dyDescent="0.2">
      <c r="A83" s="2" t="s">
        <v>51</v>
      </c>
      <c r="B83" s="2" t="s">
        <v>104</v>
      </c>
      <c r="C83" s="2" t="s">
        <v>105</v>
      </c>
      <c r="D83" s="2" t="s">
        <v>106</v>
      </c>
      <c r="E83" s="2" t="s">
        <v>107</v>
      </c>
      <c r="F83" s="2">
        <v>423456</v>
      </c>
      <c r="G83" s="2">
        <v>6890</v>
      </c>
      <c r="H83" s="2">
        <v>1056.8</v>
      </c>
      <c r="I83" s="2">
        <v>107</v>
      </c>
      <c r="J83" s="2">
        <v>356789</v>
      </c>
      <c r="K83" s="2">
        <v>289234</v>
      </c>
      <c r="L83" s="2">
        <v>231456</v>
      </c>
      <c r="M83" s="2">
        <v>164567</v>
      </c>
      <c r="N83" s="2">
        <v>109234</v>
      </c>
      <c r="O83" s="2">
        <v>18890</v>
      </c>
      <c r="P83" s="2">
        <v>5456</v>
      </c>
      <c r="Q83" s="2">
        <v>1489</v>
      </c>
    </row>
    <row r="84" spans="1:17" ht="15.75" customHeight="1" x14ac:dyDescent="0.2">
      <c r="A84" s="2" t="s">
        <v>52</v>
      </c>
      <c r="B84" s="2" t="s">
        <v>92</v>
      </c>
      <c r="C84" s="2" t="s">
        <v>93</v>
      </c>
      <c r="D84" s="2" t="s">
        <v>94</v>
      </c>
      <c r="E84" s="2" t="s">
        <v>95</v>
      </c>
      <c r="F84" s="2">
        <v>312345</v>
      </c>
      <c r="G84" s="2">
        <v>4567</v>
      </c>
      <c r="H84" s="2">
        <v>623.4</v>
      </c>
      <c r="I84" s="2">
        <v>48</v>
      </c>
      <c r="J84" s="2">
        <v>256789</v>
      </c>
      <c r="K84" s="2">
        <v>200234</v>
      </c>
      <c r="L84" s="2">
        <v>125678</v>
      </c>
      <c r="M84" s="2">
        <v>84567</v>
      </c>
      <c r="N84" s="2">
        <v>56234</v>
      </c>
      <c r="O84" s="2">
        <v>11234</v>
      </c>
      <c r="P84" s="2">
        <v>3012</v>
      </c>
      <c r="Q84" s="2">
        <v>723</v>
      </c>
    </row>
    <row r="85" spans="1:17" ht="15.75" customHeight="1" x14ac:dyDescent="0.2">
      <c r="A85" s="2" t="s">
        <v>52</v>
      </c>
      <c r="B85" s="2" t="s">
        <v>96</v>
      </c>
      <c r="C85" s="2" t="s">
        <v>97</v>
      </c>
      <c r="D85" s="2" t="s">
        <v>98</v>
      </c>
      <c r="E85" s="2" t="s">
        <v>99</v>
      </c>
      <c r="F85" s="2">
        <v>172345</v>
      </c>
      <c r="G85" s="2">
        <v>3345</v>
      </c>
      <c r="H85" s="2">
        <v>867.9</v>
      </c>
      <c r="I85" s="2">
        <v>87</v>
      </c>
      <c r="J85" s="2">
        <v>123456</v>
      </c>
      <c r="K85" s="2">
        <v>91234</v>
      </c>
      <c r="L85" s="2">
        <v>61567</v>
      </c>
      <c r="M85" s="2">
        <v>46234</v>
      </c>
      <c r="N85" s="2">
        <v>30789</v>
      </c>
      <c r="O85" s="2">
        <v>5890</v>
      </c>
      <c r="P85" s="2">
        <v>1678</v>
      </c>
      <c r="Q85" s="2">
        <v>334</v>
      </c>
    </row>
    <row r="86" spans="1:17" ht="15.75" customHeight="1" x14ac:dyDescent="0.2">
      <c r="A86" s="2" t="s">
        <v>52</v>
      </c>
      <c r="B86" s="2" t="s">
        <v>100</v>
      </c>
      <c r="C86" s="2" t="s">
        <v>101</v>
      </c>
      <c r="D86" s="2" t="s">
        <v>102</v>
      </c>
      <c r="E86" s="2" t="s">
        <v>103</v>
      </c>
      <c r="F86" s="2">
        <v>267890</v>
      </c>
      <c r="G86" s="2">
        <v>4123</v>
      </c>
      <c r="H86" s="2">
        <v>512.6</v>
      </c>
      <c r="I86" s="2">
        <v>37</v>
      </c>
      <c r="J86" s="2">
        <v>212345</v>
      </c>
      <c r="K86" s="2">
        <v>160234</v>
      </c>
      <c r="L86" s="2">
        <v>126789</v>
      </c>
      <c r="M86" s="2">
        <v>81234</v>
      </c>
      <c r="N86" s="2">
        <v>49234</v>
      </c>
      <c r="O86" s="2">
        <v>9123</v>
      </c>
      <c r="P86" s="2">
        <v>2567</v>
      </c>
      <c r="Q86" s="2">
        <v>612</v>
      </c>
    </row>
    <row r="87" spans="1:17" ht="15.75" customHeight="1" x14ac:dyDescent="0.2">
      <c r="A87" s="2" t="s">
        <v>52</v>
      </c>
      <c r="B87" s="2" t="s">
        <v>104</v>
      </c>
      <c r="C87" s="2" t="s">
        <v>105</v>
      </c>
      <c r="D87" s="2" t="s">
        <v>106</v>
      </c>
      <c r="E87" s="2" t="s">
        <v>107</v>
      </c>
      <c r="F87" s="2">
        <v>456789</v>
      </c>
      <c r="G87" s="2">
        <v>7456</v>
      </c>
      <c r="H87" s="2">
        <v>1167.8</v>
      </c>
      <c r="I87" s="2">
        <v>118</v>
      </c>
      <c r="J87" s="2">
        <v>389012</v>
      </c>
      <c r="K87" s="2">
        <v>312345</v>
      </c>
      <c r="L87" s="2">
        <v>249234</v>
      </c>
      <c r="M87" s="2">
        <v>177890</v>
      </c>
      <c r="N87" s="2">
        <v>118234</v>
      </c>
      <c r="O87" s="2">
        <v>20234</v>
      </c>
      <c r="P87" s="2">
        <v>5912</v>
      </c>
      <c r="Q87" s="2">
        <v>1623</v>
      </c>
    </row>
    <row r="88" spans="1:17" ht="15.75" customHeight="1" x14ac:dyDescent="0.2">
      <c r="A88" s="2" t="s">
        <v>53</v>
      </c>
      <c r="B88" s="2" t="s">
        <v>92</v>
      </c>
      <c r="C88" s="2" t="s">
        <v>93</v>
      </c>
      <c r="D88" s="2" t="s">
        <v>94</v>
      </c>
      <c r="E88" s="2" t="s">
        <v>95</v>
      </c>
      <c r="F88" s="2">
        <v>323456</v>
      </c>
      <c r="G88" s="2">
        <v>4789</v>
      </c>
      <c r="H88" s="2">
        <v>645.70000000000005</v>
      </c>
      <c r="I88" s="2">
        <v>50</v>
      </c>
      <c r="J88" s="2">
        <v>267890</v>
      </c>
      <c r="K88" s="2">
        <v>208901</v>
      </c>
      <c r="L88" s="2">
        <v>131234</v>
      </c>
      <c r="M88" s="2">
        <v>88234</v>
      </c>
      <c r="N88" s="2">
        <v>58901</v>
      </c>
      <c r="O88" s="2">
        <v>11567</v>
      </c>
      <c r="P88" s="2">
        <v>3134</v>
      </c>
      <c r="Q88" s="2">
        <v>734</v>
      </c>
    </row>
    <row r="89" spans="1:17" ht="15.75" customHeight="1" x14ac:dyDescent="0.2">
      <c r="A89" s="2" t="s">
        <v>53</v>
      </c>
      <c r="B89" s="2" t="s">
        <v>96</v>
      </c>
      <c r="C89" s="2" t="s">
        <v>97</v>
      </c>
      <c r="D89" s="2" t="s">
        <v>98</v>
      </c>
      <c r="E89" s="2" t="s">
        <v>99</v>
      </c>
      <c r="F89" s="2">
        <v>178901</v>
      </c>
      <c r="G89" s="2">
        <v>3456</v>
      </c>
      <c r="H89" s="2">
        <v>889.5</v>
      </c>
      <c r="I89" s="2">
        <v>89</v>
      </c>
      <c r="J89" s="2">
        <v>128901</v>
      </c>
      <c r="K89" s="2">
        <v>95678</v>
      </c>
      <c r="L89" s="2">
        <v>64567</v>
      </c>
      <c r="M89" s="2">
        <v>48567</v>
      </c>
      <c r="N89" s="2">
        <v>32345</v>
      </c>
      <c r="O89" s="2">
        <v>6123</v>
      </c>
      <c r="P89" s="2">
        <v>1734</v>
      </c>
      <c r="Q89" s="2">
        <v>345</v>
      </c>
    </row>
    <row r="90" spans="1:17" ht="15.75" customHeight="1" x14ac:dyDescent="0.2">
      <c r="A90" s="2" t="s">
        <v>53</v>
      </c>
      <c r="B90" s="2" t="s">
        <v>100</v>
      </c>
      <c r="C90" s="2" t="s">
        <v>101</v>
      </c>
      <c r="D90" s="2" t="s">
        <v>102</v>
      </c>
      <c r="E90" s="2" t="s">
        <v>103</v>
      </c>
      <c r="F90" s="2">
        <v>278901</v>
      </c>
      <c r="G90" s="2">
        <v>4234</v>
      </c>
      <c r="H90" s="2">
        <v>534.20000000000005</v>
      </c>
      <c r="I90" s="2">
        <v>39</v>
      </c>
      <c r="J90" s="2">
        <v>223456</v>
      </c>
      <c r="K90" s="2">
        <v>168901</v>
      </c>
      <c r="L90" s="2">
        <v>133456</v>
      </c>
      <c r="M90" s="2">
        <v>85678</v>
      </c>
      <c r="N90" s="2">
        <v>51789</v>
      </c>
      <c r="O90" s="2">
        <v>9456</v>
      </c>
      <c r="P90" s="2">
        <v>2634</v>
      </c>
      <c r="Q90" s="2">
        <v>623</v>
      </c>
    </row>
    <row r="91" spans="1:17" ht="15.75" customHeight="1" x14ac:dyDescent="0.2">
      <c r="A91" s="2" t="s">
        <v>53</v>
      </c>
      <c r="B91" s="2" t="s">
        <v>104</v>
      </c>
      <c r="C91" s="2" t="s">
        <v>105</v>
      </c>
      <c r="D91" s="2" t="s">
        <v>106</v>
      </c>
      <c r="E91" s="2" t="s">
        <v>107</v>
      </c>
      <c r="F91" s="2">
        <v>467890</v>
      </c>
      <c r="G91" s="2">
        <v>7623</v>
      </c>
      <c r="H91" s="2">
        <v>1189.4000000000001</v>
      </c>
      <c r="I91" s="2">
        <v>120</v>
      </c>
      <c r="J91" s="2">
        <v>401234</v>
      </c>
      <c r="K91" s="2">
        <v>323456</v>
      </c>
      <c r="L91" s="2">
        <v>258901</v>
      </c>
      <c r="M91" s="2">
        <v>184567</v>
      </c>
      <c r="N91" s="2">
        <v>122345</v>
      </c>
      <c r="O91" s="2">
        <v>20789</v>
      </c>
      <c r="P91" s="2">
        <v>6034</v>
      </c>
      <c r="Q91" s="2">
        <v>1678</v>
      </c>
    </row>
    <row r="92" spans="1:17" ht="15.75" customHeight="1" x14ac:dyDescent="0.2">
      <c r="A92" s="2" t="s">
        <v>54</v>
      </c>
      <c r="B92" s="2" t="s">
        <v>92</v>
      </c>
      <c r="C92" s="2" t="s">
        <v>93</v>
      </c>
      <c r="D92" s="2" t="s">
        <v>94</v>
      </c>
      <c r="E92" s="2" t="s">
        <v>95</v>
      </c>
      <c r="F92" s="2">
        <v>301234</v>
      </c>
      <c r="G92" s="2">
        <v>4456</v>
      </c>
      <c r="H92" s="2">
        <v>589.9</v>
      </c>
      <c r="I92" s="2">
        <v>46</v>
      </c>
      <c r="J92" s="2">
        <v>245678</v>
      </c>
      <c r="K92" s="2">
        <v>191234</v>
      </c>
      <c r="L92" s="2">
        <v>119234</v>
      </c>
      <c r="M92" s="2">
        <v>80234</v>
      </c>
      <c r="N92" s="2">
        <v>53456</v>
      </c>
      <c r="O92" s="2">
        <v>10789</v>
      </c>
      <c r="P92" s="2">
        <v>2901</v>
      </c>
      <c r="Q92" s="2">
        <v>689</v>
      </c>
    </row>
    <row r="93" spans="1:17" ht="15.75" customHeight="1" x14ac:dyDescent="0.2">
      <c r="A93" s="2" t="s">
        <v>54</v>
      </c>
      <c r="B93" s="2" t="s">
        <v>96</v>
      </c>
      <c r="C93" s="2" t="s">
        <v>97</v>
      </c>
      <c r="D93" s="2" t="s">
        <v>98</v>
      </c>
      <c r="E93" s="2" t="s">
        <v>99</v>
      </c>
      <c r="F93" s="2">
        <v>167890</v>
      </c>
      <c r="G93" s="2">
        <v>3234</v>
      </c>
      <c r="H93" s="2">
        <v>845.6</v>
      </c>
      <c r="I93" s="2">
        <v>85</v>
      </c>
      <c r="J93" s="2">
        <v>117890</v>
      </c>
      <c r="K93" s="2">
        <v>87234</v>
      </c>
      <c r="L93" s="2">
        <v>58901</v>
      </c>
      <c r="M93" s="2">
        <v>44234</v>
      </c>
      <c r="N93" s="2">
        <v>29567</v>
      </c>
      <c r="O93" s="2">
        <v>5678</v>
      </c>
      <c r="P93" s="2">
        <v>1634</v>
      </c>
      <c r="Q93" s="2">
        <v>312</v>
      </c>
    </row>
    <row r="94" spans="1:17" ht="15.75" customHeight="1" x14ac:dyDescent="0.2">
      <c r="A94" s="2" t="s">
        <v>54</v>
      </c>
      <c r="B94" s="2" t="s">
        <v>100</v>
      </c>
      <c r="C94" s="2" t="s">
        <v>101</v>
      </c>
      <c r="D94" s="2" t="s">
        <v>102</v>
      </c>
      <c r="E94" s="2" t="s">
        <v>103</v>
      </c>
      <c r="F94" s="2">
        <v>256789</v>
      </c>
      <c r="G94" s="2">
        <v>4012</v>
      </c>
      <c r="H94" s="2">
        <v>489.2</v>
      </c>
      <c r="I94" s="2">
        <v>36</v>
      </c>
      <c r="J94" s="2">
        <v>201234</v>
      </c>
      <c r="K94" s="2">
        <v>152345</v>
      </c>
      <c r="L94" s="2">
        <v>120456</v>
      </c>
      <c r="M94" s="2">
        <v>77890</v>
      </c>
      <c r="N94" s="2">
        <v>47234</v>
      </c>
      <c r="O94" s="2">
        <v>8901</v>
      </c>
      <c r="P94" s="2">
        <v>2456</v>
      </c>
      <c r="Q94" s="2">
        <v>589</v>
      </c>
    </row>
    <row r="95" spans="1:17" ht="15.75" customHeight="1" x14ac:dyDescent="0.2">
      <c r="A95" s="2" t="s">
        <v>54</v>
      </c>
      <c r="B95" s="2" t="s">
        <v>104</v>
      </c>
      <c r="C95" s="2" t="s">
        <v>105</v>
      </c>
      <c r="D95" s="2" t="s">
        <v>106</v>
      </c>
      <c r="E95" s="2" t="s">
        <v>107</v>
      </c>
      <c r="F95" s="2">
        <v>445678</v>
      </c>
      <c r="G95" s="2">
        <v>7234</v>
      </c>
      <c r="H95" s="2">
        <v>1123.5</v>
      </c>
      <c r="I95" s="2">
        <v>113</v>
      </c>
      <c r="J95" s="2">
        <v>378901</v>
      </c>
      <c r="K95" s="2">
        <v>304567</v>
      </c>
      <c r="L95" s="2">
        <v>243456</v>
      </c>
      <c r="M95" s="2">
        <v>172345</v>
      </c>
      <c r="N95" s="2">
        <v>114567</v>
      </c>
      <c r="O95" s="2">
        <v>19567</v>
      </c>
      <c r="P95" s="2">
        <v>5678</v>
      </c>
      <c r="Q95" s="2">
        <v>1567</v>
      </c>
    </row>
    <row r="96" spans="1:17" ht="15.75" customHeight="1" x14ac:dyDescent="0.2">
      <c r="A96" s="2" t="s">
        <v>55</v>
      </c>
      <c r="B96" s="2" t="s">
        <v>92</v>
      </c>
      <c r="C96" s="2" t="s">
        <v>93</v>
      </c>
      <c r="D96" s="2" t="s">
        <v>94</v>
      </c>
      <c r="E96" s="2" t="s">
        <v>95</v>
      </c>
      <c r="F96" s="2">
        <v>278901</v>
      </c>
      <c r="G96" s="2">
        <v>4123</v>
      </c>
      <c r="H96" s="2">
        <v>545.6</v>
      </c>
      <c r="I96" s="2">
        <v>42</v>
      </c>
      <c r="J96" s="2">
        <v>229234</v>
      </c>
      <c r="K96" s="2">
        <v>179234</v>
      </c>
      <c r="L96" s="2">
        <v>112234</v>
      </c>
      <c r="M96" s="2">
        <v>75678</v>
      </c>
      <c r="N96" s="2">
        <v>50234</v>
      </c>
      <c r="O96" s="2">
        <v>10123</v>
      </c>
      <c r="P96" s="2">
        <v>2712</v>
      </c>
      <c r="Q96" s="2">
        <v>645</v>
      </c>
    </row>
    <row r="97" spans="1:17" ht="15.75" customHeight="1" x14ac:dyDescent="0.2">
      <c r="A97" s="2" t="s">
        <v>55</v>
      </c>
      <c r="B97" s="2" t="s">
        <v>96</v>
      </c>
      <c r="C97" s="2" t="s">
        <v>97</v>
      </c>
      <c r="D97" s="2" t="s">
        <v>98</v>
      </c>
      <c r="E97" s="2" t="s">
        <v>99</v>
      </c>
      <c r="F97" s="2">
        <v>153456</v>
      </c>
      <c r="G97" s="2">
        <v>2945</v>
      </c>
      <c r="H97" s="2">
        <v>789.2</v>
      </c>
      <c r="I97" s="2">
        <v>79</v>
      </c>
      <c r="J97" s="2">
        <v>107890</v>
      </c>
      <c r="K97" s="2">
        <v>79567</v>
      </c>
      <c r="L97" s="2">
        <v>53678</v>
      </c>
      <c r="M97" s="2">
        <v>40234</v>
      </c>
      <c r="N97" s="2">
        <v>26890</v>
      </c>
      <c r="O97" s="2">
        <v>5234</v>
      </c>
      <c r="P97" s="2">
        <v>1456</v>
      </c>
      <c r="Q97" s="2">
        <v>278</v>
      </c>
    </row>
    <row r="98" spans="1:17" ht="15.75" customHeight="1" x14ac:dyDescent="0.2">
      <c r="A98" s="2" t="s">
        <v>55</v>
      </c>
      <c r="B98" s="2" t="s">
        <v>100</v>
      </c>
      <c r="C98" s="2" t="s">
        <v>101</v>
      </c>
      <c r="D98" s="2" t="s">
        <v>102</v>
      </c>
      <c r="E98" s="2" t="s">
        <v>103</v>
      </c>
      <c r="F98" s="2">
        <v>236789</v>
      </c>
      <c r="G98" s="2">
        <v>3734</v>
      </c>
      <c r="H98" s="2">
        <v>456.8</v>
      </c>
      <c r="I98" s="2">
        <v>33</v>
      </c>
      <c r="J98" s="2">
        <v>187890</v>
      </c>
      <c r="K98" s="2">
        <v>142345</v>
      </c>
      <c r="L98" s="2">
        <v>112345</v>
      </c>
      <c r="M98" s="2">
        <v>72345</v>
      </c>
      <c r="N98" s="2">
        <v>43789</v>
      </c>
      <c r="O98" s="2">
        <v>8456</v>
      </c>
      <c r="P98" s="2">
        <v>2267</v>
      </c>
      <c r="Q98" s="2">
        <v>545</v>
      </c>
    </row>
    <row r="99" spans="1:17" ht="15.75" customHeight="1" x14ac:dyDescent="0.2">
      <c r="A99" s="2" t="s">
        <v>55</v>
      </c>
      <c r="B99" s="2" t="s">
        <v>104</v>
      </c>
      <c r="C99" s="2" t="s">
        <v>105</v>
      </c>
      <c r="D99" s="2" t="s">
        <v>106</v>
      </c>
      <c r="E99" s="2" t="s">
        <v>107</v>
      </c>
      <c r="F99" s="2">
        <v>423456</v>
      </c>
      <c r="G99" s="2">
        <v>6789</v>
      </c>
      <c r="H99" s="2">
        <v>1034.5</v>
      </c>
      <c r="I99" s="2">
        <v>104</v>
      </c>
      <c r="J99" s="2">
        <v>356789</v>
      </c>
      <c r="K99" s="2">
        <v>287234</v>
      </c>
      <c r="L99" s="2">
        <v>229234</v>
      </c>
      <c r="M99" s="2">
        <v>162345</v>
      </c>
      <c r="N99" s="2">
        <v>107890</v>
      </c>
      <c r="O99" s="2">
        <v>18756</v>
      </c>
      <c r="P99" s="2">
        <v>5345</v>
      </c>
      <c r="Q99" s="2">
        <v>1456</v>
      </c>
    </row>
    <row r="100" spans="1:17" ht="15.75" customHeight="1" x14ac:dyDescent="0.2">
      <c r="A100" s="2" t="s">
        <v>56</v>
      </c>
      <c r="B100" s="2" t="s">
        <v>92</v>
      </c>
      <c r="C100" s="2" t="s">
        <v>93</v>
      </c>
      <c r="D100" s="2" t="s">
        <v>94</v>
      </c>
      <c r="E100" s="2" t="s">
        <v>95</v>
      </c>
      <c r="F100" s="2">
        <v>267890</v>
      </c>
      <c r="G100" s="2">
        <v>3945</v>
      </c>
      <c r="H100" s="2">
        <v>501.2</v>
      </c>
      <c r="I100" s="2">
        <v>40</v>
      </c>
      <c r="J100" s="2">
        <v>221234</v>
      </c>
      <c r="K100" s="2">
        <v>173456</v>
      </c>
      <c r="L100" s="2">
        <v>109234</v>
      </c>
      <c r="M100" s="2">
        <v>73567</v>
      </c>
      <c r="N100" s="2">
        <v>49234</v>
      </c>
      <c r="O100" s="2">
        <v>9789</v>
      </c>
      <c r="P100" s="2">
        <v>2634</v>
      </c>
      <c r="Q100" s="2">
        <v>623</v>
      </c>
    </row>
    <row r="101" spans="1:17" ht="15.75" customHeight="1" x14ac:dyDescent="0.2">
      <c r="A101" s="2" t="s">
        <v>56</v>
      </c>
      <c r="B101" s="2" t="s">
        <v>96</v>
      </c>
      <c r="C101" s="2" t="s">
        <v>97</v>
      </c>
      <c r="D101" s="2" t="s">
        <v>98</v>
      </c>
      <c r="E101" s="2" t="s">
        <v>99</v>
      </c>
      <c r="F101" s="2">
        <v>148901</v>
      </c>
      <c r="G101" s="2">
        <v>2834</v>
      </c>
      <c r="H101" s="2">
        <v>756.7</v>
      </c>
      <c r="I101" s="2">
        <v>76</v>
      </c>
      <c r="J101" s="2">
        <v>101234</v>
      </c>
      <c r="K101" s="2">
        <v>74567</v>
      </c>
      <c r="L101" s="2">
        <v>50234</v>
      </c>
      <c r="M101" s="2">
        <v>37890</v>
      </c>
      <c r="N101" s="2">
        <v>25234</v>
      </c>
      <c r="O101" s="2">
        <v>5012</v>
      </c>
      <c r="P101" s="2">
        <v>1423</v>
      </c>
      <c r="Q101" s="2">
        <v>267</v>
      </c>
    </row>
    <row r="102" spans="1:17" ht="15.75" customHeight="1" x14ac:dyDescent="0.2">
      <c r="A102" s="2" t="s">
        <v>56</v>
      </c>
      <c r="B102" s="2" t="s">
        <v>100</v>
      </c>
      <c r="C102" s="2" t="s">
        <v>101</v>
      </c>
      <c r="D102" s="2" t="s">
        <v>102</v>
      </c>
      <c r="E102" s="2" t="s">
        <v>103</v>
      </c>
      <c r="F102" s="2">
        <v>223456</v>
      </c>
      <c r="G102" s="2">
        <v>3567</v>
      </c>
      <c r="H102" s="2">
        <v>427.7</v>
      </c>
      <c r="I102" s="2">
        <v>30</v>
      </c>
      <c r="J102" s="2">
        <v>178901</v>
      </c>
      <c r="K102" s="2">
        <v>135234</v>
      </c>
      <c r="L102" s="2">
        <v>106789</v>
      </c>
      <c r="M102" s="2">
        <v>69234</v>
      </c>
      <c r="N102" s="2">
        <v>41789</v>
      </c>
      <c r="O102" s="2">
        <v>8234</v>
      </c>
      <c r="P102" s="2">
        <v>2267</v>
      </c>
      <c r="Q102" s="2">
        <v>534</v>
      </c>
    </row>
    <row r="103" spans="1:17" ht="15.75" customHeight="1" x14ac:dyDescent="0.2">
      <c r="A103" s="2" t="s">
        <v>56</v>
      </c>
      <c r="B103" s="2" t="s">
        <v>104</v>
      </c>
      <c r="C103" s="2" t="s">
        <v>105</v>
      </c>
      <c r="D103" s="2" t="s">
        <v>106</v>
      </c>
      <c r="E103" s="2" t="s">
        <v>107</v>
      </c>
      <c r="F103" s="2">
        <v>401234</v>
      </c>
      <c r="G103" s="2">
        <v>6456</v>
      </c>
      <c r="H103" s="2">
        <v>989.9</v>
      </c>
      <c r="I103" s="2">
        <v>101</v>
      </c>
      <c r="J103" s="2">
        <v>332345</v>
      </c>
      <c r="K103" s="2">
        <v>267890</v>
      </c>
      <c r="L103" s="2">
        <v>214567</v>
      </c>
      <c r="M103" s="2">
        <v>151234</v>
      </c>
      <c r="N103" s="2">
        <v>99567</v>
      </c>
      <c r="O103" s="2">
        <v>17234</v>
      </c>
      <c r="P103" s="2">
        <v>5012</v>
      </c>
      <c r="Q103" s="2">
        <v>1378</v>
      </c>
    </row>
    <row r="104" spans="1:17" ht="15.75" customHeight="1" x14ac:dyDescent="0.2">
      <c r="A104" s="2" t="s">
        <v>57</v>
      </c>
      <c r="B104" s="2" t="s">
        <v>92</v>
      </c>
      <c r="C104" s="2" t="s">
        <v>93</v>
      </c>
      <c r="D104" s="2" t="s">
        <v>94</v>
      </c>
      <c r="E104" s="2" t="s">
        <v>95</v>
      </c>
      <c r="F104" s="2">
        <v>289012</v>
      </c>
      <c r="G104" s="2">
        <v>4234</v>
      </c>
      <c r="H104" s="2">
        <v>556.70000000000005</v>
      </c>
      <c r="I104" s="2">
        <v>43</v>
      </c>
      <c r="J104" s="2">
        <v>234567</v>
      </c>
      <c r="K104" s="2">
        <v>182345</v>
      </c>
      <c r="L104" s="2">
        <v>114567</v>
      </c>
      <c r="M104" s="2">
        <v>77234</v>
      </c>
      <c r="N104" s="2">
        <v>51234</v>
      </c>
      <c r="O104" s="2">
        <v>10345</v>
      </c>
      <c r="P104" s="2">
        <v>2789</v>
      </c>
      <c r="Q104" s="2">
        <v>656</v>
      </c>
    </row>
    <row r="105" spans="1:17" ht="15.75" customHeight="1" x14ac:dyDescent="0.2">
      <c r="A105" s="2" t="s">
        <v>57</v>
      </c>
      <c r="B105" s="2" t="s">
        <v>96</v>
      </c>
      <c r="C105" s="2" t="s">
        <v>97</v>
      </c>
      <c r="D105" s="2" t="s">
        <v>98</v>
      </c>
      <c r="E105" s="2" t="s">
        <v>99</v>
      </c>
      <c r="F105" s="2">
        <v>156789</v>
      </c>
      <c r="G105" s="2">
        <v>3012</v>
      </c>
      <c r="H105" s="2">
        <v>812.3</v>
      </c>
      <c r="I105" s="2">
        <v>82</v>
      </c>
      <c r="J105" s="2">
        <v>109876</v>
      </c>
      <c r="K105" s="2">
        <v>81234</v>
      </c>
      <c r="L105" s="2">
        <v>54678</v>
      </c>
      <c r="M105" s="2">
        <v>41234</v>
      </c>
      <c r="N105" s="2">
        <v>27567</v>
      </c>
      <c r="O105" s="2">
        <v>5456</v>
      </c>
      <c r="P105" s="2">
        <v>1567</v>
      </c>
      <c r="Q105" s="2">
        <v>289</v>
      </c>
    </row>
    <row r="106" spans="1:17" ht="15.75" customHeight="1" x14ac:dyDescent="0.2">
      <c r="A106" s="2" t="s">
        <v>57</v>
      </c>
      <c r="B106" s="2" t="s">
        <v>100</v>
      </c>
      <c r="C106" s="2" t="s">
        <v>101</v>
      </c>
      <c r="D106" s="2" t="s">
        <v>102</v>
      </c>
      <c r="E106" s="2" t="s">
        <v>103</v>
      </c>
      <c r="F106" s="2">
        <v>245678</v>
      </c>
      <c r="G106" s="2">
        <v>3890</v>
      </c>
      <c r="H106" s="2">
        <v>467.8</v>
      </c>
      <c r="I106" s="2">
        <v>34</v>
      </c>
      <c r="J106" s="2">
        <v>195678</v>
      </c>
      <c r="K106" s="2">
        <v>148234</v>
      </c>
      <c r="L106" s="2">
        <v>117234</v>
      </c>
      <c r="M106" s="2">
        <v>75234</v>
      </c>
      <c r="N106" s="2">
        <v>45789</v>
      </c>
      <c r="O106" s="2">
        <v>8567</v>
      </c>
      <c r="P106" s="2">
        <v>2345</v>
      </c>
      <c r="Q106" s="2">
        <v>567</v>
      </c>
    </row>
    <row r="107" spans="1:17" ht="15.75" customHeight="1" x14ac:dyDescent="0.2">
      <c r="A107" s="2" t="s">
        <v>57</v>
      </c>
      <c r="B107" s="2" t="s">
        <v>104</v>
      </c>
      <c r="C107" s="2" t="s">
        <v>105</v>
      </c>
      <c r="D107" s="2" t="s">
        <v>106</v>
      </c>
      <c r="E107" s="2" t="s">
        <v>107</v>
      </c>
      <c r="F107" s="2">
        <v>423456</v>
      </c>
      <c r="G107" s="2">
        <v>6890</v>
      </c>
      <c r="H107" s="2">
        <v>1056.8</v>
      </c>
      <c r="I107" s="2">
        <v>107</v>
      </c>
      <c r="J107" s="2">
        <v>356789</v>
      </c>
      <c r="K107" s="2">
        <v>289234</v>
      </c>
      <c r="L107" s="2">
        <v>231456</v>
      </c>
      <c r="M107" s="2">
        <v>164567</v>
      </c>
      <c r="N107" s="2">
        <v>109234</v>
      </c>
      <c r="O107" s="2">
        <v>18890</v>
      </c>
      <c r="P107" s="2">
        <v>5456</v>
      </c>
      <c r="Q107" s="2">
        <v>1489</v>
      </c>
    </row>
    <row r="108" spans="1:17" ht="15.75" customHeight="1" x14ac:dyDescent="0.2">
      <c r="A108" s="2" t="s">
        <v>58</v>
      </c>
      <c r="B108" s="2" t="s">
        <v>92</v>
      </c>
      <c r="C108" s="2" t="s">
        <v>93</v>
      </c>
      <c r="D108" s="2" t="s">
        <v>94</v>
      </c>
      <c r="E108" s="2" t="s">
        <v>95</v>
      </c>
      <c r="F108" s="2">
        <v>295678</v>
      </c>
      <c r="G108" s="2">
        <v>4345</v>
      </c>
      <c r="H108" s="2">
        <v>573.20000000000005</v>
      </c>
      <c r="I108" s="2">
        <v>44</v>
      </c>
      <c r="J108" s="2">
        <v>241234</v>
      </c>
      <c r="K108" s="2">
        <v>188234</v>
      </c>
      <c r="L108" s="2">
        <v>117890</v>
      </c>
      <c r="M108" s="2">
        <v>79234</v>
      </c>
      <c r="N108" s="2">
        <v>52789</v>
      </c>
      <c r="O108" s="2">
        <v>10567</v>
      </c>
      <c r="P108" s="2">
        <v>2856</v>
      </c>
      <c r="Q108" s="2">
        <v>667</v>
      </c>
    </row>
    <row r="109" spans="1:17" ht="15.75" customHeight="1" x14ac:dyDescent="0.2">
      <c r="A109" s="2" t="s">
        <v>58</v>
      </c>
      <c r="B109" s="2" t="s">
        <v>96</v>
      </c>
      <c r="C109" s="2" t="s">
        <v>97</v>
      </c>
      <c r="D109" s="2" t="s">
        <v>98</v>
      </c>
      <c r="E109" s="2" t="s">
        <v>99</v>
      </c>
      <c r="F109" s="2">
        <v>161234</v>
      </c>
      <c r="G109" s="2">
        <v>3089</v>
      </c>
      <c r="H109" s="2">
        <v>823.7</v>
      </c>
      <c r="I109" s="2">
        <v>83</v>
      </c>
      <c r="J109" s="2">
        <v>113456</v>
      </c>
      <c r="K109" s="2">
        <v>83567</v>
      </c>
      <c r="L109" s="2">
        <v>56234</v>
      </c>
      <c r="M109" s="2">
        <v>42345</v>
      </c>
      <c r="N109" s="2">
        <v>28234</v>
      </c>
      <c r="O109" s="2">
        <v>5523</v>
      </c>
      <c r="P109" s="2">
        <v>1589</v>
      </c>
      <c r="Q109" s="2">
        <v>301</v>
      </c>
    </row>
    <row r="110" spans="1:17" ht="15.75" customHeight="1" x14ac:dyDescent="0.2">
      <c r="A110" s="2" t="s">
        <v>58</v>
      </c>
      <c r="B110" s="2" t="s">
        <v>100</v>
      </c>
      <c r="C110" s="2" t="s">
        <v>101</v>
      </c>
      <c r="D110" s="2" t="s">
        <v>102</v>
      </c>
      <c r="E110" s="2" t="s">
        <v>103</v>
      </c>
      <c r="F110" s="2">
        <v>251234</v>
      </c>
      <c r="G110" s="2">
        <v>3967</v>
      </c>
      <c r="H110" s="2">
        <v>481.5</v>
      </c>
      <c r="I110" s="2">
        <v>35</v>
      </c>
      <c r="J110" s="2">
        <v>198901</v>
      </c>
      <c r="K110" s="2">
        <v>150567</v>
      </c>
      <c r="L110" s="2">
        <v>119234</v>
      </c>
      <c r="M110" s="2">
        <v>76890</v>
      </c>
      <c r="N110" s="2">
        <v>46567</v>
      </c>
      <c r="O110" s="2">
        <v>8678</v>
      </c>
      <c r="P110" s="2">
        <v>2378</v>
      </c>
      <c r="Q110" s="2">
        <v>556</v>
      </c>
    </row>
    <row r="111" spans="1:17" ht="15.75" customHeight="1" x14ac:dyDescent="0.2">
      <c r="A111" s="2" t="s">
        <v>58</v>
      </c>
      <c r="B111" s="2" t="s">
        <v>104</v>
      </c>
      <c r="C111" s="2" t="s">
        <v>105</v>
      </c>
      <c r="D111" s="2" t="s">
        <v>106</v>
      </c>
      <c r="E111" s="2" t="s">
        <v>107</v>
      </c>
      <c r="F111" s="2">
        <v>434567</v>
      </c>
      <c r="G111" s="2">
        <v>7012</v>
      </c>
      <c r="H111" s="2">
        <v>1089.3</v>
      </c>
      <c r="I111" s="2">
        <v>109</v>
      </c>
      <c r="J111" s="2">
        <v>367890</v>
      </c>
      <c r="K111" s="2">
        <v>296234</v>
      </c>
      <c r="L111" s="2">
        <v>237890</v>
      </c>
      <c r="M111" s="2">
        <v>168234</v>
      </c>
      <c r="N111" s="2">
        <v>111234</v>
      </c>
      <c r="O111" s="2">
        <v>19234</v>
      </c>
      <c r="P111" s="2">
        <v>5534</v>
      </c>
      <c r="Q111" s="2">
        <v>1523</v>
      </c>
    </row>
    <row r="112" spans="1:17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dataValidations count="6">
    <dataValidation type="list" allowBlank="1" showDropDown="1" showErrorMessage="1" sqref="A2:A111" xr:uid="{00000000-0002-0000-0200-000000000000}">
      <formula1>"2024-01-01,2024-01-02,2024-01-03,2024-01-04,2024-01-05,2024-01-06,2024-01-07,2024-01-08,2024-01-09,2024-01-10,2024-01-11,2024-01-12,2024-01-13,2024-01-14,2024-01-15,2024-01-16,2024-01-17,2024-01-18,2024-01-19,2024-01-20,2024-01-21,2024-01-22,2024-01-23,20"&amp;"24-01-24,2024-01-25,2024-01-26,2024-01-27,2024-01-28,2024-01-29,2024-01-30"</formula1>
    </dataValidation>
    <dataValidation type="list" allowBlank="1" showDropDown="1" showErrorMessage="1" sqref="D2:D111" xr:uid="{00000000-0002-0000-0200-000001000000}">
      <formula1>"ttad_9001,ttad_9002,ttad_9003,ttad_9004"</formula1>
    </dataValidation>
    <dataValidation type="list" allowBlank="1" showDropDown="1" showErrorMessage="1" sqref="E2:E111" xr:uid="{00000000-0002-0000-0200-000002000000}">
      <formula1>"Dance_Challenge,Product_Demo,Trending_Sounds,Creator_Partnership"</formula1>
    </dataValidation>
    <dataValidation type="list" allowBlank="1" showDropDown="1" showErrorMessage="1" sqref="B2:B111" xr:uid="{00000000-0002-0000-0200-000003000000}">
      <formula1>"tt_8001,tt_8002,tt_8003,tt_8004"</formula1>
    </dataValidation>
    <dataValidation type="list" allowBlank="1" showDropDown="1" showErrorMessage="1" sqref="C2:C111" xr:uid="{00000000-0002-0000-0200-000004000000}">
      <formula1>"Awareness_GenZ,Conversion_Focus,Traffic_Campaign,Influencer_Collab"</formula1>
    </dataValidation>
    <dataValidation type="custom" allowBlank="1" showDropDown="1" sqref="F2:Q111" xr:uid="{00000000-0002-0000-0200-000005000000}">
      <formula1>AND(ISNUMBER(F2),(NOT(OR(NOT(ISERROR(DATEVALUE(F2))), AND(ISNUMBER(F2), LEFT(CELL("format", F2))="D")))))</formula1>
    </dataValidation>
  </dataValidations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4.5" defaultRowHeight="15" customHeight="1" x14ac:dyDescent="0.2"/>
  <cols>
    <col min="3" max="3" width="25.83203125" customWidth="1"/>
    <col min="4" max="4" width="21.5" customWidth="1"/>
    <col min="5" max="5" width="15.5" customWidth="1"/>
    <col min="6" max="6" width="15.6640625" customWidth="1"/>
    <col min="7" max="7" width="21.5" customWidth="1"/>
  </cols>
  <sheetData>
    <row r="1" spans="1:7" ht="22.5" customHeight="1" x14ac:dyDescent="0.2">
      <c r="A1" s="5" t="s">
        <v>59</v>
      </c>
      <c r="B1" s="6" t="s">
        <v>108</v>
      </c>
      <c r="C1" s="7" t="s">
        <v>2</v>
      </c>
      <c r="D1" s="8" t="s">
        <v>5</v>
      </c>
      <c r="E1" s="8" t="s">
        <v>6</v>
      </c>
      <c r="F1" s="8" t="s">
        <v>7</v>
      </c>
      <c r="G1" s="8" t="s">
        <v>8</v>
      </c>
    </row>
    <row r="2" spans="1:7" ht="22.5" customHeight="1" x14ac:dyDescent="0.2">
      <c r="A2" s="5" t="str">
        <f ca="1">IFERROR(__xludf.DUMMYFUNCTION("{
FILTER({Facebook!A2:A1000,ARRAYFORMULA(IF(Facebook!A2:A1000&lt;&gt;"""",""Facebook"","""")),Facebook!C2:C1000,Facebook!F2:F1000,Facebook!G2:G1000,Facebook!H2:H1000,Facebook!I2:I1000},Facebook!A2:A1000&lt;&gt;"""");
FILTER({Google!A2:A1000,ARRAYFORMULA(IF(Google!A2:"&amp;"A1000&lt;&gt;"""",""Google"","""")),Google!C2:C1000,Google!F2:F1000,Google!G2:G1000,Google!H2:H1000,Google!I2:I1000},Google!A2:A1000&lt;&gt;"""");
FILTER({TikTok!A2:A1000,ARRAYFORMULA(IF(TikTok!A2:A1000&lt;&gt;"""",""TikTok"","""")),TikTok!C2:C1000,TikTok!F2:F1000,TikTok!G"&amp;"2:G1000,TikTok!H2:H1000,TikTok!I2:I1000},TikTok!A2:A1000&lt;&gt;"""")
}"),"2024-01-01")</f>
        <v>2024-01-01</v>
      </c>
      <c r="B2" s="9" t="str">
        <f ca="1">IFERROR(__xludf.DUMMYFUNCTION("""COMPUTED_VALUE"""),"Facebook")</f>
        <v>Facebook</v>
      </c>
      <c r="C2" s="10" t="str">
        <f ca="1">IFERROR(__xludf.DUMMYFUNCTION("""COMPUTED_VALUE"""),"Brand_Awareness_Q1")</f>
        <v>Brand_Awareness_Q1</v>
      </c>
      <c r="D2" s="2">
        <f ca="1">IFERROR(__xludf.DUMMYFUNCTION("""COMPUTED_VALUE"""),45623)</f>
        <v>45623</v>
      </c>
      <c r="E2" s="2">
        <f ca="1">IFERROR(__xludf.DUMMYFUNCTION("""COMPUTED_VALUE"""),892)</f>
        <v>892</v>
      </c>
      <c r="F2" s="2">
        <f ca="1">IFERROR(__xludf.DUMMYFUNCTION("""COMPUTED_VALUE"""),127.5)</f>
        <v>127.5</v>
      </c>
      <c r="G2" s="2">
        <f ca="1">IFERROR(__xludf.DUMMYFUNCTION("""COMPUTED_VALUE"""),12)</f>
        <v>12</v>
      </c>
    </row>
    <row r="3" spans="1:7" ht="22.5" customHeight="1" x14ac:dyDescent="0.2">
      <c r="A3" s="2" t="str">
        <f ca="1">IFERROR(__xludf.DUMMYFUNCTION("""COMPUTED_VALUE"""),"2024-01-01")</f>
        <v>2024-01-01</v>
      </c>
      <c r="B3" s="9" t="str">
        <f ca="1">IFERROR(__xludf.DUMMYFUNCTION("""COMPUTED_VALUE"""),"Facebook")</f>
        <v>Facebook</v>
      </c>
      <c r="C3" s="10" t="str">
        <f ca="1">IFERROR(__xludf.DUMMYFUNCTION("""COMPUTED_VALUE"""),"Conversions_Retargeting")</f>
        <v>Conversions_Retargeting</v>
      </c>
      <c r="D3" s="2">
        <f ca="1">IFERROR(__xludf.DUMMYFUNCTION("""COMPUTED_VALUE"""),12456)</f>
        <v>12456</v>
      </c>
      <c r="E3" s="2">
        <f ca="1">IFERROR(__xludf.DUMMYFUNCTION("""COMPUTED_VALUE"""),567)</f>
        <v>567</v>
      </c>
      <c r="F3" s="2">
        <f ca="1">IFERROR(__xludf.DUMMYFUNCTION("""COMPUTED_VALUE"""),215.8)</f>
        <v>215.8</v>
      </c>
      <c r="G3" s="2">
        <f ca="1">IFERROR(__xludf.DUMMYFUNCTION("""COMPUTED_VALUE"""),34)</f>
        <v>34</v>
      </c>
    </row>
    <row r="4" spans="1:7" ht="22.5" customHeight="1" x14ac:dyDescent="0.2">
      <c r="A4" s="2" t="str">
        <f ca="1">IFERROR(__xludf.DUMMYFUNCTION("""COMPUTED_VALUE"""),"2024-01-01")</f>
        <v>2024-01-01</v>
      </c>
      <c r="B4" s="10" t="str">
        <f ca="1">IFERROR(__xludf.DUMMYFUNCTION("""COMPUTED_VALUE"""),"Facebook")</f>
        <v>Facebook</v>
      </c>
      <c r="C4" s="10" t="str">
        <f ca="1">IFERROR(__xludf.DUMMYFUNCTION("""COMPUTED_VALUE"""),"Traffic_Drive_Jan")</f>
        <v>Traffic_Drive_Jan</v>
      </c>
      <c r="D4" s="2">
        <f ca="1">IFERROR(__xludf.DUMMYFUNCTION("""COMPUTED_VALUE"""),34567)</f>
        <v>34567</v>
      </c>
      <c r="E4" s="2">
        <f ca="1">IFERROR(__xludf.DUMMYFUNCTION("""COMPUTED_VALUE"""),1234)</f>
        <v>1234</v>
      </c>
      <c r="F4" s="2">
        <f ca="1">IFERROR(__xludf.DUMMYFUNCTION("""COMPUTED_VALUE"""),189.9)</f>
        <v>189.9</v>
      </c>
      <c r="G4" s="2">
        <f ca="1">IFERROR(__xludf.DUMMYFUNCTION("""COMPUTED_VALUE"""),23)</f>
        <v>23</v>
      </c>
    </row>
    <row r="5" spans="1:7" ht="22.5" customHeight="1" x14ac:dyDescent="0.2">
      <c r="A5" s="2" t="str">
        <f ca="1">IFERROR(__xludf.DUMMYFUNCTION("""COMPUTED_VALUE"""),"2024-01-02")</f>
        <v>2024-01-02</v>
      </c>
      <c r="B5" s="10" t="str">
        <f ca="1">IFERROR(__xludf.DUMMYFUNCTION("""COMPUTED_VALUE"""),"Facebook")</f>
        <v>Facebook</v>
      </c>
      <c r="C5" s="10" t="str">
        <f ca="1">IFERROR(__xludf.DUMMYFUNCTION("""COMPUTED_VALUE"""),"Brand_Awareness_Q1")</f>
        <v>Brand_Awareness_Q1</v>
      </c>
      <c r="D5" s="2">
        <f ca="1">IFERROR(__xludf.DUMMYFUNCTION("""COMPUTED_VALUE"""),42345)</f>
        <v>42345</v>
      </c>
      <c r="E5" s="2">
        <f ca="1">IFERROR(__xludf.DUMMYFUNCTION("""COMPUTED_VALUE"""),823)</f>
        <v>823</v>
      </c>
      <c r="F5" s="2">
        <f ca="1">IFERROR(__xludf.DUMMYFUNCTION("""COMPUTED_VALUE"""),118.2)</f>
        <v>118.2</v>
      </c>
      <c r="G5" s="2">
        <f ca="1">IFERROR(__xludf.DUMMYFUNCTION("""COMPUTED_VALUE"""),10)</f>
        <v>10</v>
      </c>
    </row>
    <row r="6" spans="1:7" ht="22.5" customHeight="1" x14ac:dyDescent="0.2">
      <c r="A6" s="2" t="str">
        <f ca="1">IFERROR(__xludf.DUMMYFUNCTION("""COMPUTED_VALUE"""),"2024-01-02")</f>
        <v>2024-01-02</v>
      </c>
      <c r="B6" s="10" t="str">
        <f ca="1">IFERROR(__xludf.DUMMYFUNCTION("""COMPUTED_VALUE"""),"Facebook")</f>
        <v>Facebook</v>
      </c>
      <c r="C6" s="10" t="str">
        <f ca="1">IFERROR(__xludf.DUMMYFUNCTION("""COMPUTED_VALUE"""),"Conversions_Retargeting")</f>
        <v>Conversions_Retargeting</v>
      </c>
      <c r="D6" s="2">
        <f ca="1">IFERROR(__xludf.DUMMYFUNCTION("""COMPUTED_VALUE"""),13678)</f>
        <v>13678</v>
      </c>
      <c r="E6" s="2">
        <f ca="1">IFERROR(__xludf.DUMMYFUNCTION("""COMPUTED_VALUE"""),623)</f>
        <v>623</v>
      </c>
      <c r="F6" s="2">
        <f ca="1">IFERROR(__xludf.DUMMYFUNCTION("""COMPUTED_VALUE"""),234.5)</f>
        <v>234.5</v>
      </c>
      <c r="G6" s="2">
        <f ca="1">IFERROR(__xludf.DUMMYFUNCTION("""COMPUTED_VALUE"""),38)</f>
        <v>38</v>
      </c>
    </row>
    <row r="7" spans="1:7" ht="22.5" customHeight="1" x14ac:dyDescent="0.2">
      <c r="A7" s="2" t="str">
        <f ca="1">IFERROR(__xludf.DUMMYFUNCTION("""COMPUTED_VALUE"""),"2024-01-02")</f>
        <v>2024-01-02</v>
      </c>
      <c r="B7" s="10" t="str">
        <f ca="1">IFERROR(__xludf.DUMMYFUNCTION("""COMPUTED_VALUE"""),"Facebook")</f>
        <v>Facebook</v>
      </c>
      <c r="C7" s="10" t="str">
        <f ca="1">IFERROR(__xludf.DUMMYFUNCTION("""COMPUTED_VALUE"""),"Traffic_Drive_Jan")</f>
        <v>Traffic_Drive_Jan</v>
      </c>
      <c r="D7" s="2">
        <f ca="1">IFERROR(__xludf.DUMMYFUNCTION("""COMPUTED_VALUE"""),36789)</f>
        <v>36789</v>
      </c>
      <c r="E7" s="2">
        <f ca="1">IFERROR(__xludf.DUMMYFUNCTION("""COMPUTED_VALUE"""),1345)</f>
        <v>1345</v>
      </c>
      <c r="F7" s="2">
        <f ca="1">IFERROR(__xludf.DUMMYFUNCTION("""COMPUTED_VALUE"""),201.3)</f>
        <v>201.3</v>
      </c>
      <c r="G7" s="2">
        <f ca="1">IFERROR(__xludf.DUMMYFUNCTION("""COMPUTED_VALUE"""),25)</f>
        <v>25</v>
      </c>
    </row>
    <row r="8" spans="1:7" ht="22.5" customHeight="1" x14ac:dyDescent="0.2">
      <c r="A8" s="2" t="str">
        <f ca="1">IFERROR(__xludf.DUMMYFUNCTION("""COMPUTED_VALUE"""),"2024-01-03")</f>
        <v>2024-01-03</v>
      </c>
      <c r="B8" s="10" t="str">
        <f ca="1">IFERROR(__xludf.DUMMYFUNCTION("""COMPUTED_VALUE"""),"Facebook")</f>
        <v>Facebook</v>
      </c>
      <c r="C8" s="10" t="str">
        <f ca="1">IFERROR(__xludf.DUMMYFUNCTION("""COMPUTED_VALUE"""),"Brand_Awareness_Q1")</f>
        <v>Brand_Awareness_Q1</v>
      </c>
      <c r="D8" s="2">
        <f ca="1">IFERROR(__xludf.DUMMYFUNCTION("""COMPUTED_VALUE"""),48234)</f>
        <v>48234</v>
      </c>
      <c r="E8" s="2">
        <f ca="1">IFERROR(__xludf.DUMMYFUNCTION("""COMPUTED_VALUE"""),967)</f>
        <v>967</v>
      </c>
      <c r="F8" s="2">
        <f ca="1">IFERROR(__xludf.DUMMYFUNCTION("""COMPUTED_VALUE"""),134.8)</f>
        <v>134.80000000000001</v>
      </c>
      <c r="G8" s="2">
        <f ca="1">IFERROR(__xludf.DUMMYFUNCTION("""COMPUTED_VALUE"""),14)</f>
        <v>14</v>
      </c>
    </row>
    <row r="9" spans="1:7" ht="22.5" customHeight="1" x14ac:dyDescent="0.2">
      <c r="A9" s="2" t="str">
        <f ca="1">IFERROR(__xludf.DUMMYFUNCTION("""COMPUTED_VALUE"""),"2024-01-03")</f>
        <v>2024-01-03</v>
      </c>
      <c r="B9" s="10" t="str">
        <f ca="1">IFERROR(__xludf.DUMMYFUNCTION("""COMPUTED_VALUE"""),"Facebook")</f>
        <v>Facebook</v>
      </c>
      <c r="C9" s="10" t="str">
        <f ca="1">IFERROR(__xludf.DUMMYFUNCTION("""COMPUTED_VALUE"""),"Conversions_Retargeting")</f>
        <v>Conversions_Retargeting</v>
      </c>
      <c r="D9" s="2">
        <f ca="1">IFERROR(__xludf.DUMMYFUNCTION("""COMPUTED_VALUE"""),11234)</f>
        <v>11234</v>
      </c>
      <c r="E9" s="2">
        <f ca="1">IFERROR(__xludf.DUMMYFUNCTION("""COMPUTED_VALUE"""),489)</f>
        <v>489</v>
      </c>
      <c r="F9" s="2">
        <f ca="1">IFERROR(__xludf.DUMMYFUNCTION("""COMPUTED_VALUE"""),198.7)</f>
        <v>198.7</v>
      </c>
      <c r="G9" s="2">
        <f ca="1">IFERROR(__xludf.DUMMYFUNCTION("""COMPUTED_VALUE"""),31)</f>
        <v>31</v>
      </c>
    </row>
    <row r="10" spans="1:7" ht="22.5" customHeight="1" x14ac:dyDescent="0.2">
      <c r="A10" s="2" t="str">
        <f ca="1">IFERROR(__xludf.DUMMYFUNCTION("""COMPUTED_VALUE"""),"2024-01-03")</f>
        <v>2024-01-03</v>
      </c>
      <c r="B10" s="10" t="str">
        <f ca="1">IFERROR(__xludf.DUMMYFUNCTION("""COMPUTED_VALUE"""),"Facebook")</f>
        <v>Facebook</v>
      </c>
      <c r="C10" s="10" t="str">
        <f ca="1">IFERROR(__xludf.DUMMYFUNCTION("""COMPUTED_VALUE"""),"Traffic_Drive_Jan")</f>
        <v>Traffic_Drive_Jan</v>
      </c>
      <c r="D10" s="2">
        <f ca="1">IFERROR(__xludf.DUMMYFUNCTION("""COMPUTED_VALUE"""),38901)</f>
        <v>38901</v>
      </c>
      <c r="E10" s="2">
        <f ca="1">IFERROR(__xludf.DUMMYFUNCTION("""COMPUTED_VALUE"""),1456)</f>
        <v>1456</v>
      </c>
      <c r="F10" s="2">
        <f ca="1">IFERROR(__xludf.DUMMYFUNCTION("""COMPUTED_VALUE"""),213.4)</f>
        <v>213.4</v>
      </c>
      <c r="G10" s="2">
        <f ca="1">IFERROR(__xludf.DUMMYFUNCTION("""COMPUTED_VALUE"""),28)</f>
        <v>28</v>
      </c>
    </row>
    <row r="11" spans="1:7" ht="22.5" customHeight="1" x14ac:dyDescent="0.2">
      <c r="A11" s="2" t="str">
        <f ca="1">IFERROR(__xludf.DUMMYFUNCTION("""COMPUTED_VALUE"""),"2024-01-04")</f>
        <v>2024-01-04</v>
      </c>
      <c r="B11" s="10" t="str">
        <f ca="1">IFERROR(__xludf.DUMMYFUNCTION("""COMPUTED_VALUE"""),"Facebook")</f>
        <v>Facebook</v>
      </c>
      <c r="C11" s="10" t="str">
        <f ca="1">IFERROR(__xludf.DUMMYFUNCTION("""COMPUTED_VALUE"""),"Brand_Awareness_Q1")</f>
        <v>Brand_Awareness_Q1</v>
      </c>
      <c r="D11" s="2">
        <f ca="1">IFERROR(__xludf.DUMMYFUNCTION("""COMPUTED_VALUE"""),51234)</f>
        <v>51234</v>
      </c>
      <c r="E11" s="2">
        <f ca="1">IFERROR(__xludf.DUMMYFUNCTION("""COMPUTED_VALUE"""),1023)</f>
        <v>1023</v>
      </c>
      <c r="F11" s="2">
        <f ca="1">IFERROR(__xludf.DUMMYFUNCTION("""COMPUTED_VALUE"""),142.3)</f>
        <v>142.30000000000001</v>
      </c>
      <c r="G11" s="2">
        <f ca="1">IFERROR(__xludf.DUMMYFUNCTION("""COMPUTED_VALUE"""),15)</f>
        <v>15</v>
      </c>
    </row>
    <row r="12" spans="1:7" ht="22.5" customHeight="1" x14ac:dyDescent="0.2">
      <c r="A12" s="2" t="str">
        <f ca="1">IFERROR(__xludf.DUMMYFUNCTION("""COMPUTED_VALUE"""),"2024-01-04")</f>
        <v>2024-01-04</v>
      </c>
      <c r="B12" s="10" t="str">
        <f ca="1">IFERROR(__xludf.DUMMYFUNCTION("""COMPUTED_VALUE"""),"Facebook")</f>
        <v>Facebook</v>
      </c>
      <c r="C12" s="10" t="str">
        <f ca="1">IFERROR(__xludf.DUMMYFUNCTION("""COMPUTED_VALUE"""),"Conversions_Retargeting")</f>
        <v>Conversions_Retargeting</v>
      </c>
      <c r="D12" s="2">
        <f ca="1">IFERROR(__xludf.DUMMYFUNCTION("""COMPUTED_VALUE"""),14567)</f>
        <v>14567</v>
      </c>
      <c r="E12" s="2">
        <f ca="1">IFERROR(__xludf.DUMMYFUNCTION("""COMPUTED_VALUE"""),678)</f>
        <v>678</v>
      </c>
      <c r="F12" s="2">
        <f ca="1">IFERROR(__xludf.DUMMYFUNCTION("""COMPUTED_VALUE"""),245.6)</f>
        <v>245.6</v>
      </c>
      <c r="G12" s="2">
        <f ca="1">IFERROR(__xludf.DUMMYFUNCTION("""COMPUTED_VALUE"""),42)</f>
        <v>42</v>
      </c>
    </row>
    <row r="13" spans="1:7" ht="22.5" customHeight="1" x14ac:dyDescent="0.2">
      <c r="A13" s="2" t="str">
        <f ca="1">IFERROR(__xludf.DUMMYFUNCTION("""COMPUTED_VALUE"""),"2024-01-04")</f>
        <v>2024-01-04</v>
      </c>
      <c r="B13" s="10" t="str">
        <f ca="1">IFERROR(__xludf.DUMMYFUNCTION("""COMPUTED_VALUE"""),"Facebook")</f>
        <v>Facebook</v>
      </c>
      <c r="C13" s="10" t="str">
        <f ca="1">IFERROR(__xludf.DUMMYFUNCTION("""COMPUTED_VALUE"""),"Video_Views_Campaign")</f>
        <v>Video_Views_Campaign</v>
      </c>
      <c r="D13" s="2">
        <f ca="1">IFERROR(__xludf.DUMMYFUNCTION("""COMPUTED_VALUE"""),67890)</f>
        <v>67890</v>
      </c>
      <c r="E13" s="2">
        <f ca="1">IFERROR(__xludf.DUMMYFUNCTION("""COMPUTED_VALUE"""),234)</f>
        <v>234</v>
      </c>
      <c r="F13" s="2">
        <f ca="1">IFERROR(__xludf.DUMMYFUNCTION("""COMPUTED_VALUE"""),89.5)</f>
        <v>89.5</v>
      </c>
      <c r="G13" s="2">
        <f ca="1">IFERROR(__xludf.DUMMYFUNCTION("""COMPUTED_VALUE"""),5)</f>
        <v>5</v>
      </c>
    </row>
    <row r="14" spans="1:7" ht="22.5" customHeight="1" x14ac:dyDescent="0.2">
      <c r="A14" s="2" t="str">
        <f ca="1">IFERROR(__xludf.DUMMYFUNCTION("""COMPUTED_VALUE"""),"2024-01-05")</f>
        <v>2024-01-05</v>
      </c>
      <c r="B14" s="10" t="str">
        <f ca="1">IFERROR(__xludf.DUMMYFUNCTION("""COMPUTED_VALUE"""),"Facebook")</f>
        <v>Facebook</v>
      </c>
      <c r="C14" s="10" t="str">
        <f ca="1">IFERROR(__xludf.DUMMYFUNCTION("""COMPUTED_VALUE"""),"Brand_Awareness_Q1")</f>
        <v>Brand_Awareness_Q1</v>
      </c>
      <c r="D14" s="2">
        <f ca="1">IFERROR(__xludf.DUMMYFUNCTION("""COMPUTED_VALUE"""),46789)</f>
        <v>46789</v>
      </c>
      <c r="E14" s="2">
        <f ca="1">IFERROR(__xludf.DUMMYFUNCTION("""COMPUTED_VALUE"""),934)</f>
        <v>934</v>
      </c>
      <c r="F14" s="2">
        <f ca="1">IFERROR(__xludf.DUMMYFUNCTION("""COMPUTED_VALUE"""),131.2)</f>
        <v>131.19999999999999</v>
      </c>
      <c r="G14" s="2">
        <f ca="1">IFERROR(__xludf.DUMMYFUNCTION("""COMPUTED_VALUE"""),13)</f>
        <v>13</v>
      </c>
    </row>
    <row r="15" spans="1:7" ht="22.5" customHeight="1" x14ac:dyDescent="0.2">
      <c r="A15" s="2" t="str">
        <f ca="1">IFERROR(__xludf.DUMMYFUNCTION("""COMPUTED_VALUE"""),"2024-01-05")</f>
        <v>2024-01-05</v>
      </c>
      <c r="B15" s="10" t="str">
        <f ca="1">IFERROR(__xludf.DUMMYFUNCTION("""COMPUTED_VALUE"""),"Facebook")</f>
        <v>Facebook</v>
      </c>
      <c r="C15" s="10" t="str">
        <f ca="1">IFERROR(__xludf.DUMMYFUNCTION("""COMPUTED_VALUE"""),"Conversions_Retargeting")</f>
        <v>Conversions_Retargeting</v>
      </c>
      <c r="D15" s="2">
        <f ca="1">IFERROR(__xludf.DUMMYFUNCTION("""COMPUTED_VALUE"""),12890)</f>
        <v>12890</v>
      </c>
      <c r="E15" s="2">
        <f ca="1">IFERROR(__xludf.DUMMYFUNCTION("""COMPUTED_VALUE"""),567)</f>
        <v>567</v>
      </c>
      <c r="F15" s="2">
        <f ca="1">IFERROR(__xludf.DUMMYFUNCTION("""COMPUTED_VALUE"""),220.3)</f>
        <v>220.3</v>
      </c>
      <c r="G15" s="2">
        <f ca="1">IFERROR(__xludf.DUMMYFUNCTION("""COMPUTED_VALUE"""),36)</f>
        <v>36</v>
      </c>
    </row>
    <row r="16" spans="1:7" ht="22.5" customHeight="1" x14ac:dyDescent="0.2">
      <c r="A16" s="2" t="str">
        <f ca="1">IFERROR(__xludf.DUMMYFUNCTION("""COMPUTED_VALUE"""),"2024-01-05")</f>
        <v>2024-01-05</v>
      </c>
      <c r="B16" s="10" t="str">
        <f ca="1">IFERROR(__xludf.DUMMYFUNCTION("""COMPUTED_VALUE"""),"Facebook")</f>
        <v>Facebook</v>
      </c>
      <c r="C16" s="10" t="str">
        <f ca="1">IFERROR(__xludf.DUMMYFUNCTION("""COMPUTED_VALUE"""),"Video_Views_Campaign")</f>
        <v>Video_Views_Campaign</v>
      </c>
      <c r="D16" s="2">
        <f ca="1">IFERROR(__xludf.DUMMYFUNCTION("""COMPUTED_VALUE"""),71234)</f>
        <v>71234</v>
      </c>
      <c r="E16" s="2">
        <f ca="1">IFERROR(__xludf.DUMMYFUNCTION("""COMPUTED_VALUE"""),256)</f>
        <v>256</v>
      </c>
      <c r="F16" s="2">
        <f ca="1">IFERROR(__xludf.DUMMYFUNCTION("""COMPUTED_VALUE"""),94.8)</f>
        <v>94.8</v>
      </c>
      <c r="G16" s="2">
        <f ca="1">IFERROR(__xludf.DUMMYFUNCTION("""COMPUTED_VALUE"""),6)</f>
        <v>6</v>
      </c>
    </row>
    <row r="17" spans="1:7" ht="22.5" customHeight="1" x14ac:dyDescent="0.2">
      <c r="A17" s="2" t="str">
        <f ca="1">IFERROR(__xludf.DUMMYFUNCTION("""COMPUTED_VALUE"""),"2024-01-06")</f>
        <v>2024-01-06</v>
      </c>
      <c r="B17" s="10" t="str">
        <f ca="1">IFERROR(__xludf.DUMMYFUNCTION("""COMPUTED_VALUE"""),"Facebook")</f>
        <v>Facebook</v>
      </c>
      <c r="C17" s="10" t="str">
        <f ca="1">IFERROR(__xludf.DUMMYFUNCTION("""COMPUTED_VALUE"""),"Brand_Awareness_Q1")</f>
        <v>Brand_Awareness_Q1</v>
      </c>
      <c r="D17" s="2">
        <f ca="1">IFERROR(__xludf.DUMMYFUNCTION("""COMPUTED_VALUE"""),44567)</f>
        <v>44567</v>
      </c>
      <c r="E17" s="2">
        <f ca="1">IFERROR(__xludf.DUMMYFUNCTION("""COMPUTED_VALUE"""),878)</f>
        <v>878</v>
      </c>
      <c r="F17" s="2">
        <f ca="1">IFERROR(__xludf.DUMMYFUNCTION("""COMPUTED_VALUE"""),125.6)</f>
        <v>125.6</v>
      </c>
      <c r="G17" s="2">
        <f ca="1">IFERROR(__xludf.DUMMYFUNCTION("""COMPUTED_VALUE"""),11)</f>
        <v>11</v>
      </c>
    </row>
    <row r="18" spans="1:7" ht="22.5" customHeight="1" x14ac:dyDescent="0.2">
      <c r="A18" s="2" t="str">
        <f ca="1">IFERROR(__xludf.DUMMYFUNCTION("""COMPUTED_VALUE"""),"2024-01-06")</f>
        <v>2024-01-06</v>
      </c>
      <c r="B18" s="10" t="str">
        <f ca="1">IFERROR(__xludf.DUMMYFUNCTION("""COMPUTED_VALUE"""),"Facebook")</f>
        <v>Facebook</v>
      </c>
      <c r="C18" s="10" t="str">
        <f ca="1">IFERROR(__xludf.DUMMYFUNCTION("""COMPUTED_VALUE"""),"Traffic_Drive_Jan")</f>
        <v>Traffic_Drive_Jan</v>
      </c>
      <c r="D18" s="2">
        <f ca="1">IFERROR(__xludf.DUMMYFUNCTION("""COMPUTED_VALUE"""),35678)</f>
        <v>35678</v>
      </c>
      <c r="E18" s="2">
        <f ca="1">IFERROR(__xludf.DUMMYFUNCTION("""COMPUTED_VALUE"""),1289)</f>
        <v>1289</v>
      </c>
      <c r="F18" s="2">
        <f ca="1">IFERROR(__xludf.DUMMYFUNCTION("""COMPUTED_VALUE"""),195.6)</f>
        <v>195.6</v>
      </c>
      <c r="G18" s="2">
        <f ca="1">IFERROR(__xludf.DUMMYFUNCTION("""COMPUTED_VALUE"""),24)</f>
        <v>24</v>
      </c>
    </row>
    <row r="19" spans="1:7" ht="22.5" customHeight="1" x14ac:dyDescent="0.2">
      <c r="A19" s="2" t="str">
        <f ca="1">IFERROR(__xludf.DUMMYFUNCTION("""COMPUTED_VALUE"""),"2024-01-06")</f>
        <v>2024-01-06</v>
      </c>
      <c r="B19" s="10" t="str">
        <f ca="1">IFERROR(__xludf.DUMMYFUNCTION("""COMPUTED_VALUE"""),"Facebook")</f>
        <v>Facebook</v>
      </c>
      <c r="C19" s="10" t="str">
        <f ca="1">IFERROR(__xludf.DUMMYFUNCTION("""COMPUTED_VALUE"""),"Video_Views_Campaign")</f>
        <v>Video_Views_Campaign</v>
      </c>
      <c r="D19" s="2">
        <f ca="1">IFERROR(__xludf.DUMMYFUNCTION("""COMPUTED_VALUE"""),69456)</f>
        <v>69456</v>
      </c>
      <c r="E19" s="2">
        <f ca="1">IFERROR(__xludf.DUMMYFUNCTION("""COMPUTED_VALUE"""),245)</f>
        <v>245</v>
      </c>
      <c r="F19" s="2">
        <f ca="1">IFERROR(__xludf.DUMMYFUNCTION("""COMPUTED_VALUE"""),91.2)</f>
        <v>91.2</v>
      </c>
      <c r="G19" s="2">
        <f ca="1">IFERROR(__xludf.DUMMYFUNCTION("""COMPUTED_VALUE"""),5)</f>
        <v>5</v>
      </c>
    </row>
    <row r="20" spans="1:7" ht="22.5" customHeight="1" x14ac:dyDescent="0.2">
      <c r="A20" s="2" t="str">
        <f ca="1">IFERROR(__xludf.DUMMYFUNCTION("""COMPUTED_VALUE"""),"2024-01-07")</f>
        <v>2024-01-07</v>
      </c>
      <c r="B20" s="10" t="str">
        <f ca="1">IFERROR(__xludf.DUMMYFUNCTION("""COMPUTED_VALUE"""),"Facebook")</f>
        <v>Facebook</v>
      </c>
      <c r="C20" s="10" t="str">
        <f ca="1">IFERROR(__xludf.DUMMYFUNCTION("""COMPUTED_VALUE"""),"Brand_Awareness_Q1")</f>
        <v>Brand_Awareness_Q1</v>
      </c>
      <c r="D20" s="2">
        <f ca="1">IFERROR(__xludf.DUMMYFUNCTION("""COMPUTED_VALUE"""),49876)</f>
        <v>49876</v>
      </c>
      <c r="E20" s="2">
        <f ca="1">IFERROR(__xludf.DUMMYFUNCTION("""COMPUTED_VALUE"""),1067)</f>
        <v>1067</v>
      </c>
      <c r="F20" s="2">
        <f ca="1">IFERROR(__xludf.DUMMYFUNCTION("""COMPUTED_VALUE"""),145.9)</f>
        <v>145.9</v>
      </c>
      <c r="G20" s="2">
        <f ca="1">IFERROR(__xludf.DUMMYFUNCTION("""COMPUTED_VALUE"""),16)</f>
        <v>16</v>
      </c>
    </row>
    <row r="21" spans="1:7" ht="22.5" customHeight="1" x14ac:dyDescent="0.2">
      <c r="A21" s="2" t="str">
        <f ca="1">IFERROR(__xludf.DUMMYFUNCTION("""COMPUTED_VALUE"""),"2024-01-07")</f>
        <v>2024-01-07</v>
      </c>
      <c r="B21" s="10" t="str">
        <f ca="1">IFERROR(__xludf.DUMMYFUNCTION("""COMPUTED_VALUE"""),"Facebook")</f>
        <v>Facebook</v>
      </c>
      <c r="C21" s="10" t="str">
        <f ca="1">IFERROR(__xludf.DUMMYFUNCTION("""COMPUTED_VALUE"""),"Conversions_Retargeting")</f>
        <v>Conversions_Retargeting</v>
      </c>
      <c r="D21" s="2">
        <f ca="1">IFERROR(__xludf.DUMMYFUNCTION("""COMPUTED_VALUE"""),13456)</f>
        <v>13456</v>
      </c>
      <c r="E21" s="2">
        <f ca="1">IFERROR(__xludf.DUMMYFUNCTION("""COMPUTED_VALUE"""),623)</f>
        <v>623</v>
      </c>
      <c r="F21" s="2">
        <f ca="1">IFERROR(__xludf.DUMMYFUNCTION("""COMPUTED_VALUE"""),237.8)</f>
        <v>237.8</v>
      </c>
      <c r="G21" s="2">
        <f ca="1">IFERROR(__xludf.DUMMYFUNCTION("""COMPUTED_VALUE"""),40)</f>
        <v>40</v>
      </c>
    </row>
    <row r="22" spans="1:7" ht="22.5" customHeight="1" x14ac:dyDescent="0.2">
      <c r="A22" s="2" t="str">
        <f ca="1">IFERROR(__xludf.DUMMYFUNCTION("""COMPUTED_VALUE"""),"2024-01-07")</f>
        <v>2024-01-07</v>
      </c>
      <c r="B22" s="10" t="str">
        <f ca="1">IFERROR(__xludf.DUMMYFUNCTION("""COMPUTED_VALUE"""),"Facebook")</f>
        <v>Facebook</v>
      </c>
      <c r="C22" s="10" t="str">
        <f ca="1">IFERROR(__xludf.DUMMYFUNCTION("""COMPUTED_VALUE"""),"Traffic_Drive_Jan")</f>
        <v>Traffic_Drive_Jan</v>
      </c>
      <c r="D22" s="2">
        <f ca="1">IFERROR(__xludf.DUMMYFUNCTION("""COMPUTED_VALUE"""),37234)</f>
        <v>37234</v>
      </c>
      <c r="E22" s="2">
        <f ca="1">IFERROR(__xludf.DUMMYFUNCTION("""COMPUTED_VALUE"""),1367)</f>
        <v>1367</v>
      </c>
      <c r="F22" s="2">
        <f ca="1">IFERROR(__xludf.DUMMYFUNCTION("""COMPUTED_VALUE"""),207.9)</f>
        <v>207.9</v>
      </c>
      <c r="G22" s="2">
        <f ca="1">IFERROR(__xludf.DUMMYFUNCTION("""COMPUTED_VALUE"""),27)</f>
        <v>27</v>
      </c>
    </row>
    <row r="23" spans="1:7" ht="22.5" customHeight="1" x14ac:dyDescent="0.2">
      <c r="A23" s="2" t="str">
        <f ca="1">IFERROR(__xludf.DUMMYFUNCTION("""COMPUTED_VALUE"""),"2024-01-08")</f>
        <v>2024-01-08</v>
      </c>
      <c r="B23" s="10" t="str">
        <f ca="1">IFERROR(__xludf.DUMMYFUNCTION("""COMPUTED_VALUE"""),"Facebook")</f>
        <v>Facebook</v>
      </c>
      <c r="C23" s="10" t="str">
        <f ca="1">IFERROR(__xludf.DUMMYFUNCTION("""COMPUTED_VALUE"""),"Brand_Awareness_Q1")</f>
        <v>Brand_Awareness_Q1</v>
      </c>
      <c r="D23" s="2">
        <f ca="1">IFERROR(__xludf.DUMMYFUNCTION("""COMPUTED_VALUE"""),47234)</f>
        <v>47234</v>
      </c>
      <c r="E23" s="2">
        <f ca="1">IFERROR(__xludf.DUMMYFUNCTION("""COMPUTED_VALUE"""),945)</f>
        <v>945</v>
      </c>
      <c r="F23" s="2">
        <f ca="1">IFERROR(__xludf.DUMMYFUNCTION("""COMPUTED_VALUE"""),135.4)</f>
        <v>135.4</v>
      </c>
      <c r="G23" s="2">
        <f ca="1">IFERROR(__xludf.DUMMYFUNCTION("""COMPUTED_VALUE"""),14)</f>
        <v>14</v>
      </c>
    </row>
    <row r="24" spans="1:7" ht="22.5" customHeight="1" x14ac:dyDescent="0.2">
      <c r="A24" s="2" t="str">
        <f ca="1">IFERROR(__xludf.DUMMYFUNCTION("""COMPUTED_VALUE"""),"2024-01-08")</f>
        <v>2024-01-08</v>
      </c>
      <c r="B24" s="10" t="str">
        <f ca="1">IFERROR(__xludf.DUMMYFUNCTION("""COMPUTED_VALUE"""),"Facebook")</f>
        <v>Facebook</v>
      </c>
      <c r="C24" s="10" t="str">
        <f ca="1">IFERROR(__xludf.DUMMYFUNCTION("""COMPUTED_VALUE"""),"Conversions_Retargeting")</f>
        <v>Conversions_Retargeting</v>
      </c>
      <c r="D24" s="2">
        <f ca="1">IFERROR(__xludf.DUMMYFUNCTION("""COMPUTED_VALUE"""),12123)</f>
        <v>12123</v>
      </c>
      <c r="E24" s="2">
        <f ca="1">IFERROR(__xludf.DUMMYFUNCTION("""COMPUTED_VALUE"""),534)</f>
        <v>534</v>
      </c>
      <c r="F24" s="2">
        <f ca="1">IFERROR(__xludf.DUMMYFUNCTION("""COMPUTED_VALUE"""),212.4)</f>
        <v>212.4</v>
      </c>
      <c r="G24" s="2">
        <f ca="1">IFERROR(__xludf.DUMMYFUNCTION("""COMPUTED_VALUE"""),35)</f>
        <v>35</v>
      </c>
    </row>
    <row r="25" spans="1:7" ht="22.5" customHeight="1" x14ac:dyDescent="0.2">
      <c r="A25" s="2" t="str">
        <f ca="1">IFERROR(__xludf.DUMMYFUNCTION("""COMPUTED_VALUE"""),"2024-01-08")</f>
        <v>2024-01-08</v>
      </c>
      <c r="B25" s="10" t="str">
        <f ca="1">IFERROR(__xludf.DUMMYFUNCTION("""COMPUTED_VALUE"""),"Facebook")</f>
        <v>Facebook</v>
      </c>
      <c r="C25" s="10" t="str">
        <f ca="1">IFERROR(__xludf.DUMMYFUNCTION("""COMPUTED_VALUE"""),"Video_Views_Campaign")</f>
        <v>Video_Views_Campaign</v>
      </c>
      <c r="D25" s="2">
        <f ca="1">IFERROR(__xludf.DUMMYFUNCTION("""COMPUTED_VALUE"""),73456)</f>
        <v>73456</v>
      </c>
      <c r="E25" s="2">
        <f ca="1">IFERROR(__xludf.DUMMYFUNCTION("""COMPUTED_VALUE"""),267)</f>
        <v>267</v>
      </c>
      <c r="F25" s="2">
        <f ca="1">IFERROR(__xludf.DUMMYFUNCTION("""COMPUTED_VALUE"""),98.3)</f>
        <v>98.3</v>
      </c>
      <c r="G25" s="2">
        <f ca="1">IFERROR(__xludf.DUMMYFUNCTION("""COMPUTED_VALUE"""),7)</f>
        <v>7</v>
      </c>
    </row>
    <row r="26" spans="1:7" ht="22.5" customHeight="1" x14ac:dyDescent="0.2">
      <c r="A26" s="2" t="str">
        <f ca="1">IFERROR(__xludf.DUMMYFUNCTION("""COMPUTED_VALUE"""),"2024-01-09")</f>
        <v>2024-01-09</v>
      </c>
      <c r="B26" s="10" t="str">
        <f ca="1">IFERROR(__xludf.DUMMYFUNCTION("""COMPUTED_VALUE"""),"Facebook")</f>
        <v>Facebook</v>
      </c>
      <c r="C26" s="10" t="str">
        <f ca="1">IFERROR(__xludf.DUMMYFUNCTION("""COMPUTED_VALUE"""),"Brand_Awareness_Q1")</f>
        <v>Brand_Awareness_Q1</v>
      </c>
      <c r="D26" s="2">
        <f ca="1">IFERROR(__xludf.DUMMYFUNCTION("""COMPUTED_VALUE"""),50123)</f>
        <v>50123</v>
      </c>
      <c r="E26" s="2">
        <f ca="1">IFERROR(__xludf.DUMMYFUNCTION("""COMPUTED_VALUE"""),1012)</f>
        <v>1012</v>
      </c>
      <c r="F26" s="2">
        <f ca="1">IFERROR(__xludf.DUMMYFUNCTION("""COMPUTED_VALUE"""),141.7)</f>
        <v>141.69999999999999</v>
      </c>
      <c r="G26" s="2">
        <f ca="1">IFERROR(__xludf.DUMMYFUNCTION("""COMPUTED_VALUE"""),15)</f>
        <v>15</v>
      </c>
    </row>
    <row r="27" spans="1:7" ht="22.5" customHeight="1" x14ac:dyDescent="0.2">
      <c r="A27" s="2" t="str">
        <f ca="1">IFERROR(__xludf.DUMMYFUNCTION("""COMPUTED_VALUE"""),"2024-01-09")</f>
        <v>2024-01-09</v>
      </c>
      <c r="B27" s="10" t="str">
        <f ca="1">IFERROR(__xludf.DUMMYFUNCTION("""COMPUTED_VALUE"""),"Facebook")</f>
        <v>Facebook</v>
      </c>
      <c r="C27" s="10" t="str">
        <f ca="1">IFERROR(__xludf.DUMMYFUNCTION("""COMPUTED_VALUE"""),"Traffic_Drive_Jan")</f>
        <v>Traffic_Drive_Jan</v>
      </c>
      <c r="D27" s="2">
        <f ca="1">IFERROR(__xludf.DUMMYFUNCTION("""COMPUTED_VALUE"""),36456)</f>
        <v>36456</v>
      </c>
      <c r="E27" s="2">
        <f ca="1">IFERROR(__xludf.DUMMYFUNCTION("""COMPUTED_VALUE"""),1312)</f>
        <v>1312</v>
      </c>
      <c r="F27" s="2">
        <f ca="1">IFERROR(__xludf.DUMMYFUNCTION("""COMPUTED_VALUE"""),199.8)</f>
        <v>199.8</v>
      </c>
      <c r="G27" s="2">
        <f ca="1">IFERROR(__xludf.DUMMYFUNCTION("""COMPUTED_VALUE"""),26)</f>
        <v>26</v>
      </c>
    </row>
    <row r="28" spans="1:7" ht="22.5" customHeight="1" x14ac:dyDescent="0.2">
      <c r="A28" s="2" t="str">
        <f ca="1">IFERROR(__xludf.DUMMYFUNCTION("""COMPUTED_VALUE"""),"2024-01-09")</f>
        <v>2024-01-09</v>
      </c>
      <c r="B28" s="10" t="str">
        <f ca="1">IFERROR(__xludf.DUMMYFUNCTION("""COMPUTED_VALUE"""),"Facebook")</f>
        <v>Facebook</v>
      </c>
      <c r="C28" s="10" t="str">
        <f ca="1">IFERROR(__xludf.DUMMYFUNCTION("""COMPUTED_VALUE"""),"Video_Views_Campaign")</f>
        <v>Video_Views_Campaign</v>
      </c>
      <c r="D28" s="2">
        <f ca="1">IFERROR(__xludf.DUMMYFUNCTION("""COMPUTED_VALUE"""),70123)</f>
        <v>70123</v>
      </c>
      <c r="E28" s="2">
        <f ca="1">IFERROR(__xludf.DUMMYFUNCTION("""COMPUTED_VALUE"""),253)</f>
        <v>253</v>
      </c>
      <c r="F28" s="2">
        <f ca="1">IFERROR(__xludf.DUMMYFUNCTION("""COMPUTED_VALUE"""),93.6)</f>
        <v>93.6</v>
      </c>
      <c r="G28" s="2">
        <f ca="1">IFERROR(__xludf.DUMMYFUNCTION("""COMPUTED_VALUE"""),6)</f>
        <v>6</v>
      </c>
    </row>
    <row r="29" spans="1:7" ht="22.5" customHeight="1" x14ac:dyDescent="0.2">
      <c r="A29" s="2" t="str">
        <f ca="1">IFERROR(__xludf.DUMMYFUNCTION("""COMPUTED_VALUE"""),"2024-01-10")</f>
        <v>2024-01-10</v>
      </c>
      <c r="B29" s="10" t="str">
        <f ca="1">IFERROR(__xludf.DUMMYFUNCTION("""COMPUTED_VALUE"""),"Facebook")</f>
        <v>Facebook</v>
      </c>
      <c r="C29" s="10" t="str">
        <f ca="1">IFERROR(__xludf.DUMMYFUNCTION("""COMPUTED_VALUE"""),"Brand_Awareness_Q1")</f>
        <v>Brand_Awareness_Q1</v>
      </c>
      <c r="D29" s="2">
        <f ca="1">IFERROR(__xludf.DUMMYFUNCTION("""COMPUTED_VALUE"""),48567)</f>
        <v>48567</v>
      </c>
      <c r="E29" s="2">
        <f ca="1">IFERROR(__xludf.DUMMYFUNCTION("""COMPUTED_VALUE"""),978)</f>
        <v>978</v>
      </c>
      <c r="F29" s="2">
        <f ca="1">IFERROR(__xludf.DUMMYFUNCTION("""COMPUTED_VALUE"""),137.8)</f>
        <v>137.80000000000001</v>
      </c>
      <c r="G29" s="2">
        <f ca="1">IFERROR(__xludf.DUMMYFUNCTION("""COMPUTED_VALUE"""),14)</f>
        <v>14</v>
      </c>
    </row>
    <row r="30" spans="1:7" ht="22.5" customHeight="1" x14ac:dyDescent="0.2">
      <c r="A30" s="2" t="str">
        <f ca="1">IFERROR(__xludf.DUMMYFUNCTION("""COMPUTED_VALUE"""),"2024-01-10")</f>
        <v>2024-01-10</v>
      </c>
      <c r="B30" s="10" t="str">
        <f ca="1">IFERROR(__xludf.DUMMYFUNCTION("""COMPUTED_VALUE"""),"Facebook")</f>
        <v>Facebook</v>
      </c>
      <c r="C30" s="10" t="str">
        <f ca="1">IFERROR(__xludf.DUMMYFUNCTION("""COMPUTED_VALUE"""),"Conversions_Retargeting")</f>
        <v>Conversions_Retargeting</v>
      </c>
      <c r="D30" s="2">
        <f ca="1">IFERROR(__xludf.DUMMYFUNCTION("""COMPUTED_VALUE"""),13789)</f>
        <v>13789</v>
      </c>
      <c r="E30" s="2">
        <f ca="1">IFERROR(__xludf.DUMMYFUNCTION("""COMPUTED_VALUE"""),645)</f>
        <v>645</v>
      </c>
      <c r="F30" s="2">
        <f ca="1">IFERROR(__xludf.DUMMYFUNCTION("""COMPUTED_VALUE"""),241.2)</f>
        <v>241.2</v>
      </c>
      <c r="G30" s="2">
        <f ca="1">IFERROR(__xludf.DUMMYFUNCTION("""COMPUTED_VALUE"""),41)</f>
        <v>41</v>
      </c>
    </row>
    <row r="31" spans="1:7" ht="22.5" customHeight="1" x14ac:dyDescent="0.2">
      <c r="A31" s="2" t="str">
        <f ca="1">IFERROR(__xludf.DUMMYFUNCTION("""COMPUTED_VALUE"""),"2024-01-10")</f>
        <v>2024-01-10</v>
      </c>
      <c r="B31" s="10" t="str">
        <f ca="1">IFERROR(__xludf.DUMMYFUNCTION("""COMPUTED_VALUE"""),"Facebook")</f>
        <v>Facebook</v>
      </c>
      <c r="C31" s="10" t="str">
        <f ca="1">IFERROR(__xludf.DUMMYFUNCTION("""COMPUTED_VALUE"""),"Traffic_Drive_Jan")</f>
        <v>Traffic_Drive_Jan</v>
      </c>
      <c r="D31" s="2">
        <f ca="1">IFERROR(__xludf.DUMMYFUNCTION("""COMPUTED_VALUE"""),38456)</f>
        <v>38456</v>
      </c>
      <c r="E31" s="2">
        <f ca="1">IFERROR(__xludf.DUMMYFUNCTION("""COMPUTED_VALUE"""),1423)</f>
        <v>1423</v>
      </c>
      <c r="F31" s="2">
        <f ca="1">IFERROR(__xludf.DUMMYFUNCTION("""COMPUTED_VALUE"""),217.5)</f>
        <v>217.5</v>
      </c>
      <c r="G31" s="2">
        <f ca="1">IFERROR(__xludf.DUMMYFUNCTION("""COMPUTED_VALUE"""),29)</f>
        <v>29</v>
      </c>
    </row>
    <row r="32" spans="1:7" ht="22.5" customHeight="1" x14ac:dyDescent="0.2">
      <c r="A32" s="2" t="str">
        <f ca="1">IFERROR(__xludf.DUMMYFUNCTION("""COMPUTED_VALUE"""),"2024-01-11")</f>
        <v>2024-01-11</v>
      </c>
      <c r="B32" s="10" t="str">
        <f ca="1">IFERROR(__xludf.DUMMYFUNCTION("""COMPUTED_VALUE"""),"Facebook")</f>
        <v>Facebook</v>
      </c>
      <c r="C32" s="10" t="str">
        <f ca="1">IFERROR(__xludf.DUMMYFUNCTION("""COMPUTED_VALUE"""),"Brand_Awareness_Q1")</f>
        <v>Brand_Awareness_Q1</v>
      </c>
      <c r="D32" s="2">
        <f ca="1">IFERROR(__xludf.DUMMYFUNCTION("""COMPUTED_VALUE"""),52123)</f>
        <v>52123</v>
      </c>
      <c r="E32" s="2">
        <f ca="1">IFERROR(__xludf.DUMMYFUNCTION("""COMPUTED_VALUE"""),1089)</f>
        <v>1089</v>
      </c>
      <c r="F32" s="2">
        <f ca="1">IFERROR(__xludf.DUMMYFUNCTION("""COMPUTED_VALUE"""),148.6)</f>
        <v>148.6</v>
      </c>
      <c r="G32" s="2">
        <f ca="1">IFERROR(__xludf.DUMMYFUNCTION("""COMPUTED_VALUE"""),17)</f>
        <v>17</v>
      </c>
    </row>
    <row r="33" spans="1:7" ht="22.5" customHeight="1" x14ac:dyDescent="0.2">
      <c r="A33" s="2" t="str">
        <f ca="1">IFERROR(__xludf.DUMMYFUNCTION("""COMPUTED_VALUE"""),"2024-01-11")</f>
        <v>2024-01-11</v>
      </c>
      <c r="B33" s="10" t="str">
        <f ca="1">IFERROR(__xludf.DUMMYFUNCTION("""COMPUTED_VALUE"""),"Facebook")</f>
        <v>Facebook</v>
      </c>
      <c r="C33" s="10" t="str">
        <f ca="1">IFERROR(__xludf.DUMMYFUNCTION("""COMPUTED_VALUE"""),"Conversions_Retargeting")</f>
        <v>Conversions_Retargeting</v>
      </c>
      <c r="D33" s="2">
        <f ca="1">IFERROR(__xludf.DUMMYFUNCTION("""COMPUTED_VALUE"""),14567)</f>
        <v>14567</v>
      </c>
      <c r="E33" s="2">
        <f ca="1">IFERROR(__xludf.DUMMYFUNCTION("""COMPUTED_VALUE"""),723)</f>
        <v>723</v>
      </c>
      <c r="F33" s="2">
        <f ca="1">IFERROR(__xludf.DUMMYFUNCTION("""COMPUTED_VALUE"""),256.4)</f>
        <v>256.39999999999998</v>
      </c>
      <c r="G33" s="2">
        <f ca="1">IFERROR(__xludf.DUMMYFUNCTION("""COMPUTED_VALUE"""),44)</f>
        <v>44</v>
      </c>
    </row>
    <row r="34" spans="1:7" ht="22.5" customHeight="1" x14ac:dyDescent="0.2">
      <c r="A34" s="2" t="str">
        <f ca="1">IFERROR(__xludf.DUMMYFUNCTION("""COMPUTED_VALUE"""),"2024-01-11")</f>
        <v>2024-01-11</v>
      </c>
      <c r="B34" s="10" t="str">
        <f ca="1">IFERROR(__xludf.DUMMYFUNCTION("""COMPUTED_VALUE"""),"Facebook")</f>
        <v>Facebook</v>
      </c>
      <c r="C34" s="10" t="str">
        <f ca="1">IFERROR(__xludf.DUMMYFUNCTION("""COMPUTED_VALUE"""),"Traffic_Drive_Jan")</f>
        <v>Traffic_Drive_Jan</v>
      </c>
      <c r="D34" s="2">
        <f ca="1">IFERROR(__xludf.DUMMYFUNCTION("""COMPUTED_VALUE"""),39789)</f>
        <v>39789</v>
      </c>
      <c r="E34" s="2">
        <f ca="1">IFERROR(__xludf.DUMMYFUNCTION("""COMPUTED_VALUE"""),1534)</f>
        <v>1534</v>
      </c>
      <c r="F34" s="2">
        <f ca="1">IFERROR(__xludf.DUMMYFUNCTION("""COMPUTED_VALUE"""),225.8)</f>
        <v>225.8</v>
      </c>
      <c r="G34" s="2">
        <f ca="1">IFERROR(__xludf.DUMMYFUNCTION("""COMPUTED_VALUE"""),31)</f>
        <v>31</v>
      </c>
    </row>
    <row r="35" spans="1:7" ht="22.5" customHeight="1" x14ac:dyDescent="0.2">
      <c r="A35" s="2" t="str">
        <f ca="1">IFERROR(__xludf.DUMMYFUNCTION("""COMPUTED_VALUE"""),"2024-01-11")</f>
        <v>2024-01-11</v>
      </c>
      <c r="B35" s="10" t="str">
        <f ca="1">IFERROR(__xludf.DUMMYFUNCTION("""COMPUTED_VALUE"""),"Facebook")</f>
        <v>Facebook</v>
      </c>
      <c r="C35" s="10" t="str">
        <f ca="1">IFERROR(__xludf.DUMMYFUNCTION("""COMPUTED_VALUE"""),"Video_Views_Campaign")</f>
        <v>Video_Views_Campaign</v>
      </c>
      <c r="D35" s="2">
        <f ca="1">IFERROR(__xludf.DUMMYFUNCTION("""COMPUTED_VALUE"""),76234)</f>
        <v>76234</v>
      </c>
      <c r="E35" s="2">
        <f ca="1">IFERROR(__xludf.DUMMYFUNCTION("""COMPUTED_VALUE"""),278)</f>
        <v>278</v>
      </c>
      <c r="F35" s="2">
        <f ca="1">IFERROR(__xludf.DUMMYFUNCTION("""COMPUTED_VALUE"""),101.5)</f>
        <v>101.5</v>
      </c>
      <c r="G35" s="2">
        <f ca="1">IFERROR(__xludf.DUMMYFUNCTION("""COMPUTED_VALUE"""),8)</f>
        <v>8</v>
      </c>
    </row>
    <row r="36" spans="1:7" ht="22.5" customHeight="1" x14ac:dyDescent="0.2">
      <c r="A36" s="2" t="str">
        <f ca="1">IFERROR(__xludf.DUMMYFUNCTION("""COMPUTED_VALUE"""),"2024-01-12")</f>
        <v>2024-01-12</v>
      </c>
      <c r="B36" s="10" t="str">
        <f ca="1">IFERROR(__xludf.DUMMYFUNCTION("""COMPUTED_VALUE"""),"Facebook")</f>
        <v>Facebook</v>
      </c>
      <c r="C36" s="10" t="str">
        <f ca="1">IFERROR(__xludf.DUMMYFUNCTION("""COMPUTED_VALUE"""),"Brand_Awareness_Q1")</f>
        <v>Brand_Awareness_Q1</v>
      </c>
      <c r="D36" s="2">
        <f ca="1">IFERROR(__xludf.DUMMYFUNCTION("""COMPUTED_VALUE"""),49234)</f>
        <v>49234</v>
      </c>
      <c r="E36" s="2">
        <f ca="1">IFERROR(__xludf.DUMMYFUNCTION("""COMPUTED_VALUE"""),1012)</f>
        <v>1012</v>
      </c>
      <c r="F36" s="2">
        <f ca="1">IFERROR(__xludf.DUMMYFUNCTION("""COMPUTED_VALUE"""),140.3)</f>
        <v>140.30000000000001</v>
      </c>
      <c r="G36" s="2">
        <f ca="1">IFERROR(__xludf.DUMMYFUNCTION("""COMPUTED_VALUE"""),15)</f>
        <v>15</v>
      </c>
    </row>
    <row r="37" spans="1:7" ht="22.5" customHeight="1" x14ac:dyDescent="0.2">
      <c r="A37" s="2" t="str">
        <f ca="1">IFERROR(__xludf.DUMMYFUNCTION("""COMPUTED_VALUE"""),"2024-01-12")</f>
        <v>2024-01-12</v>
      </c>
      <c r="B37" s="10" t="str">
        <f ca="1">IFERROR(__xludf.DUMMYFUNCTION("""COMPUTED_VALUE"""),"Facebook")</f>
        <v>Facebook</v>
      </c>
      <c r="C37" s="10" t="str">
        <f ca="1">IFERROR(__xludf.DUMMYFUNCTION("""COMPUTED_VALUE"""),"Conversions_Retargeting")</f>
        <v>Conversions_Retargeting</v>
      </c>
      <c r="D37" s="2">
        <f ca="1">IFERROR(__xludf.DUMMYFUNCTION("""COMPUTED_VALUE"""),13456)</f>
        <v>13456</v>
      </c>
      <c r="E37" s="2">
        <f ca="1">IFERROR(__xludf.DUMMYFUNCTION("""COMPUTED_VALUE"""),634)</f>
        <v>634</v>
      </c>
      <c r="F37" s="2">
        <f ca="1">IFERROR(__xludf.DUMMYFUNCTION("""COMPUTED_VALUE"""),239.7)</f>
        <v>239.7</v>
      </c>
      <c r="G37" s="2">
        <f ca="1">IFERROR(__xludf.DUMMYFUNCTION("""COMPUTED_VALUE"""),39)</f>
        <v>39</v>
      </c>
    </row>
    <row r="38" spans="1:7" ht="22.5" customHeight="1" x14ac:dyDescent="0.2">
      <c r="A38" s="2" t="str">
        <f ca="1">IFERROR(__xludf.DUMMYFUNCTION("""COMPUTED_VALUE"""),"2024-01-12")</f>
        <v>2024-01-12</v>
      </c>
      <c r="B38" s="10" t="str">
        <f ca="1">IFERROR(__xludf.DUMMYFUNCTION("""COMPUTED_VALUE"""),"Facebook")</f>
        <v>Facebook</v>
      </c>
      <c r="C38" s="10" t="str">
        <f ca="1">IFERROR(__xludf.DUMMYFUNCTION("""COMPUTED_VALUE"""),"Traffic_Drive_Jan")</f>
        <v>Traffic_Drive_Jan</v>
      </c>
      <c r="D38" s="2">
        <f ca="1">IFERROR(__xludf.DUMMYFUNCTION("""COMPUTED_VALUE"""),37890)</f>
        <v>37890</v>
      </c>
      <c r="E38" s="2">
        <f ca="1">IFERROR(__xludf.DUMMYFUNCTION("""COMPUTED_VALUE"""),1398)</f>
        <v>1398</v>
      </c>
      <c r="F38" s="2">
        <f ca="1">IFERROR(__xludf.DUMMYFUNCTION("""COMPUTED_VALUE"""),212.4)</f>
        <v>212.4</v>
      </c>
      <c r="G38" s="2">
        <f ca="1">IFERROR(__xludf.DUMMYFUNCTION("""COMPUTED_VALUE"""),28)</f>
        <v>28</v>
      </c>
    </row>
    <row r="39" spans="1:7" ht="22.5" customHeight="1" x14ac:dyDescent="0.2">
      <c r="A39" s="2" t="str">
        <f ca="1">IFERROR(__xludf.DUMMYFUNCTION("""COMPUTED_VALUE"""),"2024-01-12")</f>
        <v>2024-01-12</v>
      </c>
      <c r="B39" s="10" t="str">
        <f ca="1">IFERROR(__xludf.DUMMYFUNCTION("""COMPUTED_VALUE"""),"Facebook")</f>
        <v>Facebook</v>
      </c>
      <c r="C39" s="10" t="str">
        <f ca="1">IFERROR(__xludf.DUMMYFUNCTION("""COMPUTED_VALUE"""),"Video_Views_Campaign")</f>
        <v>Video_Views_Campaign</v>
      </c>
      <c r="D39" s="2">
        <f ca="1">IFERROR(__xludf.DUMMYFUNCTION("""COMPUTED_VALUE"""),72890)</f>
        <v>72890</v>
      </c>
      <c r="E39" s="2">
        <f ca="1">IFERROR(__xludf.DUMMYFUNCTION("""COMPUTED_VALUE"""),261)</f>
        <v>261</v>
      </c>
      <c r="F39" s="2">
        <f ca="1">IFERROR(__xludf.DUMMYFUNCTION("""COMPUTED_VALUE"""),96.8)</f>
        <v>96.8</v>
      </c>
      <c r="G39" s="2">
        <f ca="1">IFERROR(__xludf.DUMMYFUNCTION("""COMPUTED_VALUE"""),7)</f>
        <v>7</v>
      </c>
    </row>
    <row r="40" spans="1:7" ht="22.5" customHeight="1" x14ac:dyDescent="0.2">
      <c r="A40" s="2" t="str">
        <f ca="1">IFERROR(__xludf.DUMMYFUNCTION("""COMPUTED_VALUE"""),"2024-01-13")</f>
        <v>2024-01-13</v>
      </c>
      <c r="B40" s="10" t="str">
        <f ca="1">IFERROR(__xludf.DUMMYFUNCTION("""COMPUTED_VALUE"""),"Facebook")</f>
        <v>Facebook</v>
      </c>
      <c r="C40" s="10" t="str">
        <f ca="1">IFERROR(__xludf.DUMMYFUNCTION("""COMPUTED_VALUE"""),"Brand_Awareness_Q1")</f>
        <v>Brand_Awareness_Q1</v>
      </c>
      <c r="D40" s="2">
        <f ca="1">IFERROR(__xludf.DUMMYFUNCTION("""COMPUTED_VALUE"""),42345)</f>
        <v>42345</v>
      </c>
      <c r="E40" s="2">
        <f ca="1">IFERROR(__xludf.DUMMYFUNCTION("""COMPUTED_VALUE"""),856)</f>
        <v>856</v>
      </c>
      <c r="F40" s="2">
        <f ca="1">IFERROR(__xludf.DUMMYFUNCTION("""COMPUTED_VALUE"""),121.5)</f>
        <v>121.5</v>
      </c>
      <c r="G40" s="2">
        <f ca="1">IFERROR(__xludf.DUMMYFUNCTION("""COMPUTED_VALUE"""),12)</f>
        <v>12</v>
      </c>
    </row>
    <row r="41" spans="1:7" ht="22.5" customHeight="1" x14ac:dyDescent="0.2">
      <c r="A41" s="2" t="str">
        <f ca="1">IFERROR(__xludf.DUMMYFUNCTION("""COMPUTED_VALUE"""),"2024-01-13")</f>
        <v>2024-01-13</v>
      </c>
      <c r="B41" s="10" t="str">
        <f ca="1">IFERROR(__xludf.DUMMYFUNCTION("""COMPUTED_VALUE"""),"Facebook")</f>
        <v>Facebook</v>
      </c>
      <c r="C41" s="10" t="str">
        <f ca="1">IFERROR(__xludf.DUMMYFUNCTION("""COMPUTED_VALUE"""),"Conversions_Retargeting")</f>
        <v>Conversions_Retargeting</v>
      </c>
      <c r="D41" s="2">
        <f ca="1">IFERROR(__xludf.DUMMYFUNCTION("""COMPUTED_VALUE"""),11234)</f>
        <v>11234</v>
      </c>
      <c r="E41" s="2">
        <f ca="1">IFERROR(__xludf.DUMMYFUNCTION("""COMPUTED_VALUE"""),523)</f>
        <v>523</v>
      </c>
      <c r="F41" s="2">
        <f ca="1">IFERROR(__xludf.DUMMYFUNCTION("""COMPUTED_VALUE"""),198.6)</f>
        <v>198.6</v>
      </c>
      <c r="G41" s="2">
        <f ca="1">IFERROR(__xludf.DUMMYFUNCTION("""COMPUTED_VALUE"""),32)</f>
        <v>32</v>
      </c>
    </row>
    <row r="42" spans="1:7" ht="22.5" customHeight="1" x14ac:dyDescent="0.2">
      <c r="A42" s="2" t="str">
        <f ca="1">IFERROR(__xludf.DUMMYFUNCTION("""COMPUTED_VALUE"""),"2024-01-13")</f>
        <v>2024-01-13</v>
      </c>
      <c r="B42" s="10" t="str">
        <f ca="1">IFERROR(__xludf.DUMMYFUNCTION("""COMPUTED_VALUE"""),"Facebook")</f>
        <v>Facebook</v>
      </c>
      <c r="C42" s="10" t="str">
        <f ca="1">IFERROR(__xludf.DUMMYFUNCTION("""COMPUTED_VALUE"""),"Traffic_Drive_Jan")</f>
        <v>Traffic_Drive_Jan</v>
      </c>
      <c r="D42" s="2">
        <f ca="1">IFERROR(__xludf.DUMMYFUNCTION("""COMPUTED_VALUE"""),33456)</f>
        <v>33456</v>
      </c>
      <c r="E42" s="2">
        <f ca="1">IFERROR(__xludf.DUMMYFUNCTION("""COMPUTED_VALUE"""),1203)</f>
        <v>1203</v>
      </c>
      <c r="F42" s="2">
        <f ca="1">IFERROR(__xludf.DUMMYFUNCTION("""COMPUTED_VALUE"""),185.3)</f>
        <v>185.3</v>
      </c>
      <c r="G42" s="2">
        <f ca="1">IFERROR(__xludf.DUMMYFUNCTION("""COMPUTED_VALUE"""),23)</f>
        <v>23</v>
      </c>
    </row>
    <row r="43" spans="1:7" ht="22.5" customHeight="1" x14ac:dyDescent="0.2">
      <c r="A43" s="2" t="str">
        <f ca="1">IFERROR(__xludf.DUMMYFUNCTION("""COMPUTED_VALUE"""),"2024-01-13")</f>
        <v>2024-01-13</v>
      </c>
      <c r="B43" s="10" t="str">
        <f ca="1">IFERROR(__xludf.DUMMYFUNCTION("""COMPUTED_VALUE"""),"Facebook")</f>
        <v>Facebook</v>
      </c>
      <c r="C43" s="10" t="str">
        <f ca="1">IFERROR(__xludf.DUMMYFUNCTION("""COMPUTED_VALUE"""),"Video_Views_Campaign")</f>
        <v>Video_Views_Campaign</v>
      </c>
      <c r="D43" s="2">
        <f ca="1">IFERROR(__xludf.DUMMYFUNCTION("""COMPUTED_VALUE"""),64567)</f>
        <v>64567</v>
      </c>
      <c r="E43" s="2">
        <f ca="1">IFERROR(__xludf.DUMMYFUNCTION("""COMPUTED_VALUE"""),238)</f>
        <v>238</v>
      </c>
      <c r="F43" s="2">
        <f ca="1">IFERROR(__xludf.DUMMYFUNCTION("""COMPUTED_VALUE"""),83.4)</f>
        <v>83.4</v>
      </c>
      <c r="G43" s="2">
        <f ca="1">IFERROR(__xludf.DUMMYFUNCTION("""COMPUTED_VALUE"""),5)</f>
        <v>5</v>
      </c>
    </row>
    <row r="44" spans="1:7" ht="22.5" customHeight="1" x14ac:dyDescent="0.2">
      <c r="A44" s="2" t="str">
        <f ca="1">IFERROR(__xludf.DUMMYFUNCTION("""COMPUTED_VALUE"""),"2024-01-14")</f>
        <v>2024-01-14</v>
      </c>
      <c r="B44" s="10" t="str">
        <f ca="1">IFERROR(__xludf.DUMMYFUNCTION("""COMPUTED_VALUE"""),"Facebook")</f>
        <v>Facebook</v>
      </c>
      <c r="C44" s="10" t="str">
        <f ca="1">IFERROR(__xludf.DUMMYFUNCTION("""COMPUTED_VALUE"""),"Brand_Awareness_Q1")</f>
        <v>Brand_Awareness_Q1</v>
      </c>
      <c r="D44" s="2">
        <f ca="1">IFERROR(__xludf.DUMMYFUNCTION("""COMPUTED_VALUE"""),40123)</f>
        <v>40123</v>
      </c>
      <c r="E44" s="2">
        <f ca="1">IFERROR(__xludf.DUMMYFUNCTION("""COMPUTED_VALUE"""),798)</f>
        <v>798</v>
      </c>
      <c r="F44" s="2">
        <f ca="1">IFERROR(__xludf.DUMMYFUNCTION("""COMPUTED_VALUE"""),114.7)</f>
        <v>114.7</v>
      </c>
      <c r="G44" s="2">
        <f ca="1">IFERROR(__xludf.DUMMYFUNCTION("""COMPUTED_VALUE"""),11)</f>
        <v>11</v>
      </c>
    </row>
    <row r="45" spans="1:7" ht="22.5" customHeight="1" x14ac:dyDescent="0.2">
      <c r="A45" s="2" t="str">
        <f ca="1">IFERROR(__xludf.DUMMYFUNCTION("""COMPUTED_VALUE"""),"2024-01-14")</f>
        <v>2024-01-14</v>
      </c>
      <c r="B45" s="10" t="str">
        <f ca="1">IFERROR(__xludf.DUMMYFUNCTION("""COMPUTED_VALUE"""),"Facebook")</f>
        <v>Facebook</v>
      </c>
      <c r="C45" s="10" t="str">
        <f ca="1">IFERROR(__xludf.DUMMYFUNCTION("""COMPUTED_VALUE"""),"Conversions_Retargeting")</f>
        <v>Conversions_Retargeting</v>
      </c>
      <c r="D45" s="2">
        <f ca="1">IFERROR(__xludf.DUMMYFUNCTION("""COMPUTED_VALUE"""),10567)</f>
        <v>10567</v>
      </c>
      <c r="E45" s="2">
        <f ca="1">IFERROR(__xludf.DUMMYFUNCTION("""COMPUTED_VALUE"""),489)</f>
        <v>489</v>
      </c>
      <c r="F45" s="2">
        <f ca="1">IFERROR(__xludf.DUMMYFUNCTION("""COMPUTED_VALUE"""),185.9)</f>
        <v>185.9</v>
      </c>
      <c r="G45" s="2">
        <f ca="1">IFERROR(__xludf.DUMMYFUNCTION("""COMPUTED_VALUE"""),29)</f>
        <v>29</v>
      </c>
    </row>
    <row r="46" spans="1:7" ht="22.5" customHeight="1" x14ac:dyDescent="0.2">
      <c r="A46" s="2" t="str">
        <f ca="1">IFERROR(__xludf.DUMMYFUNCTION("""COMPUTED_VALUE"""),"2024-01-14")</f>
        <v>2024-01-14</v>
      </c>
      <c r="B46" s="10" t="str">
        <f ca="1">IFERROR(__xludf.DUMMYFUNCTION("""COMPUTED_VALUE"""),"Facebook")</f>
        <v>Facebook</v>
      </c>
      <c r="C46" s="10" t="str">
        <f ca="1">IFERROR(__xludf.DUMMYFUNCTION("""COMPUTED_VALUE"""),"Traffic_Drive_Jan")</f>
        <v>Traffic_Drive_Jan</v>
      </c>
      <c r="D46" s="2">
        <f ca="1">IFERROR(__xludf.DUMMYFUNCTION("""COMPUTED_VALUE"""),31234)</f>
        <v>31234</v>
      </c>
      <c r="E46" s="2">
        <f ca="1">IFERROR(__xludf.DUMMYFUNCTION("""COMPUTED_VALUE"""),1123)</f>
        <v>1123</v>
      </c>
      <c r="F46" s="2">
        <f ca="1">IFERROR(__xludf.DUMMYFUNCTION("""COMPUTED_VALUE"""),173.8)</f>
        <v>173.8</v>
      </c>
      <c r="G46" s="2">
        <f ca="1">IFERROR(__xludf.DUMMYFUNCTION("""COMPUTED_VALUE"""),21)</f>
        <v>21</v>
      </c>
    </row>
    <row r="47" spans="1:7" ht="22.5" customHeight="1" x14ac:dyDescent="0.2">
      <c r="A47" s="2" t="str">
        <f ca="1">IFERROR(__xludf.DUMMYFUNCTION("""COMPUTED_VALUE"""),"2024-01-14")</f>
        <v>2024-01-14</v>
      </c>
      <c r="B47" s="10" t="str">
        <f ca="1">IFERROR(__xludf.DUMMYFUNCTION("""COMPUTED_VALUE"""),"Facebook")</f>
        <v>Facebook</v>
      </c>
      <c r="C47" s="10" t="str">
        <f ca="1">IFERROR(__xludf.DUMMYFUNCTION("""COMPUTED_VALUE"""),"Video_Views_Campaign")</f>
        <v>Video_Views_Campaign</v>
      </c>
      <c r="D47" s="2">
        <f ca="1">IFERROR(__xludf.DUMMYFUNCTION("""COMPUTED_VALUE"""),61234)</f>
        <v>61234</v>
      </c>
      <c r="E47" s="2">
        <f ca="1">IFERROR(__xludf.DUMMYFUNCTION("""COMPUTED_VALUE"""),223)</f>
        <v>223</v>
      </c>
      <c r="F47" s="2">
        <f ca="1">IFERROR(__xludf.DUMMYFUNCTION("""COMPUTED_VALUE"""),78.9)</f>
        <v>78.900000000000006</v>
      </c>
      <c r="G47" s="2">
        <f ca="1">IFERROR(__xludf.DUMMYFUNCTION("""COMPUTED_VALUE"""),4)</f>
        <v>4</v>
      </c>
    </row>
    <row r="48" spans="1:7" ht="22.5" customHeight="1" x14ac:dyDescent="0.2">
      <c r="A48" s="2" t="str">
        <f ca="1">IFERROR(__xludf.DUMMYFUNCTION("""COMPUTED_VALUE"""),"2024-01-15")</f>
        <v>2024-01-15</v>
      </c>
      <c r="B48" s="10" t="str">
        <f ca="1">IFERROR(__xludf.DUMMYFUNCTION("""COMPUTED_VALUE"""),"Facebook")</f>
        <v>Facebook</v>
      </c>
      <c r="C48" s="10" t="str">
        <f ca="1">IFERROR(__xludf.DUMMYFUNCTION("""COMPUTED_VALUE"""),"Brand_Awareness_Q1")</f>
        <v>Brand_Awareness_Q1</v>
      </c>
      <c r="D48" s="2">
        <f ca="1">IFERROR(__xludf.DUMMYFUNCTION("""COMPUTED_VALUE"""),46789)</f>
        <v>46789</v>
      </c>
      <c r="E48" s="2">
        <f ca="1">IFERROR(__xludf.DUMMYFUNCTION("""COMPUTED_VALUE"""),934)</f>
        <v>934</v>
      </c>
      <c r="F48" s="2">
        <f ca="1">IFERROR(__xludf.DUMMYFUNCTION("""COMPUTED_VALUE"""),132.4)</f>
        <v>132.4</v>
      </c>
      <c r="G48" s="2">
        <f ca="1">IFERROR(__xludf.DUMMYFUNCTION("""COMPUTED_VALUE"""),14)</f>
        <v>14</v>
      </c>
    </row>
    <row r="49" spans="1:7" ht="22.5" customHeight="1" x14ac:dyDescent="0.2">
      <c r="A49" s="2" t="str">
        <f ca="1">IFERROR(__xludf.DUMMYFUNCTION("""COMPUTED_VALUE"""),"2024-01-15")</f>
        <v>2024-01-15</v>
      </c>
      <c r="B49" s="10" t="str">
        <f ca="1">IFERROR(__xludf.DUMMYFUNCTION("""COMPUTED_VALUE"""),"Facebook")</f>
        <v>Facebook</v>
      </c>
      <c r="C49" s="10" t="str">
        <f ca="1">IFERROR(__xludf.DUMMYFUNCTION("""COMPUTED_VALUE"""),"Conversions_Retargeting")</f>
        <v>Conversions_Retargeting</v>
      </c>
      <c r="D49" s="2">
        <f ca="1">IFERROR(__xludf.DUMMYFUNCTION("""COMPUTED_VALUE"""),12890)</f>
        <v>12890</v>
      </c>
      <c r="E49" s="2">
        <f ca="1">IFERROR(__xludf.DUMMYFUNCTION("""COMPUTED_VALUE"""),567)</f>
        <v>567</v>
      </c>
      <c r="F49" s="2">
        <f ca="1">IFERROR(__xludf.DUMMYFUNCTION("""COMPUTED_VALUE"""),221.3)</f>
        <v>221.3</v>
      </c>
      <c r="G49" s="2">
        <f ca="1">IFERROR(__xludf.DUMMYFUNCTION("""COMPUTED_VALUE"""),37)</f>
        <v>37</v>
      </c>
    </row>
    <row r="50" spans="1:7" ht="22.5" customHeight="1" x14ac:dyDescent="0.2">
      <c r="A50" s="2" t="str">
        <f ca="1">IFERROR(__xludf.DUMMYFUNCTION("""COMPUTED_VALUE"""),"2024-01-15")</f>
        <v>2024-01-15</v>
      </c>
      <c r="B50" s="10" t="str">
        <f ca="1">IFERROR(__xludf.DUMMYFUNCTION("""COMPUTED_VALUE"""),"Facebook")</f>
        <v>Facebook</v>
      </c>
      <c r="C50" s="10" t="str">
        <f ca="1">IFERROR(__xludf.DUMMYFUNCTION("""COMPUTED_VALUE"""),"Traffic_Drive_Jan")</f>
        <v>Traffic_Drive_Jan</v>
      </c>
      <c r="D50" s="2">
        <f ca="1">IFERROR(__xludf.DUMMYFUNCTION("""COMPUTED_VALUE"""),35678)</f>
        <v>35678</v>
      </c>
      <c r="E50" s="2">
        <f ca="1">IFERROR(__xludf.DUMMYFUNCTION("""COMPUTED_VALUE"""),1289)</f>
        <v>1289</v>
      </c>
      <c r="F50" s="2">
        <f ca="1">IFERROR(__xludf.DUMMYFUNCTION("""COMPUTED_VALUE"""),196.6)</f>
        <v>196.6</v>
      </c>
      <c r="G50" s="2">
        <f ca="1">IFERROR(__xludf.DUMMYFUNCTION("""COMPUTED_VALUE"""),25)</f>
        <v>25</v>
      </c>
    </row>
    <row r="51" spans="1:7" ht="22.5" customHeight="1" x14ac:dyDescent="0.2">
      <c r="A51" s="2" t="str">
        <f ca="1">IFERROR(__xludf.DUMMYFUNCTION("""COMPUTED_VALUE"""),"2024-01-15")</f>
        <v>2024-01-15</v>
      </c>
      <c r="B51" s="10" t="str">
        <f ca="1">IFERROR(__xludf.DUMMYFUNCTION("""COMPUTED_VALUE"""),"Facebook")</f>
        <v>Facebook</v>
      </c>
      <c r="C51" s="10" t="str">
        <f ca="1">IFERROR(__xludf.DUMMYFUNCTION("""COMPUTED_VALUE"""),"Video_Views_Campaign")</f>
        <v>Video_Views_Campaign</v>
      </c>
      <c r="D51" s="2">
        <f ca="1">IFERROR(__xludf.DUMMYFUNCTION("""COMPUTED_VALUE"""),68456)</f>
        <v>68456</v>
      </c>
      <c r="E51" s="2">
        <f ca="1">IFERROR(__xludf.DUMMYFUNCTION("""COMPUTED_VALUE"""),248)</f>
        <v>248</v>
      </c>
      <c r="F51" s="2">
        <f ca="1">IFERROR(__xludf.DUMMYFUNCTION("""COMPUTED_VALUE"""),87.6)</f>
        <v>87.6</v>
      </c>
      <c r="G51" s="2">
        <f ca="1">IFERROR(__xludf.DUMMYFUNCTION("""COMPUTED_VALUE"""),6)</f>
        <v>6</v>
      </c>
    </row>
    <row r="52" spans="1:7" ht="22.5" customHeight="1" x14ac:dyDescent="0.2">
      <c r="A52" s="2" t="str">
        <f ca="1">IFERROR(__xludf.DUMMYFUNCTION("""COMPUTED_VALUE"""),"2024-01-16")</f>
        <v>2024-01-16</v>
      </c>
      <c r="B52" s="10" t="str">
        <f ca="1">IFERROR(__xludf.DUMMYFUNCTION("""COMPUTED_VALUE"""),"Facebook")</f>
        <v>Facebook</v>
      </c>
      <c r="C52" s="10" t="str">
        <f ca="1">IFERROR(__xludf.DUMMYFUNCTION("""COMPUTED_VALUE"""),"Brand_Awareness_Q1")</f>
        <v>Brand_Awareness_Q1</v>
      </c>
      <c r="D52" s="2">
        <f ca="1">IFERROR(__xludf.DUMMYFUNCTION("""COMPUTED_VALUE"""),50234)</f>
        <v>50234</v>
      </c>
      <c r="E52" s="2">
        <f ca="1">IFERROR(__xludf.DUMMYFUNCTION("""COMPUTED_VALUE"""),1023)</f>
        <v>1023</v>
      </c>
      <c r="F52" s="2">
        <f ca="1">IFERROR(__xludf.DUMMYFUNCTION("""COMPUTED_VALUE"""),143.8)</f>
        <v>143.80000000000001</v>
      </c>
      <c r="G52" s="2">
        <f ca="1">IFERROR(__xludf.DUMMYFUNCTION("""COMPUTED_VALUE"""),16)</f>
        <v>16</v>
      </c>
    </row>
    <row r="53" spans="1:7" ht="22.5" customHeight="1" x14ac:dyDescent="0.2">
      <c r="A53" s="2" t="str">
        <f ca="1">IFERROR(__xludf.DUMMYFUNCTION("""COMPUTED_VALUE"""),"2024-01-16")</f>
        <v>2024-01-16</v>
      </c>
      <c r="B53" s="10" t="str">
        <f ca="1">IFERROR(__xludf.DUMMYFUNCTION("""COMPUTED_VALUE"""),"Facebook")</f>
        <v>Facebook</v>
      </c>
      <c r="C53" s="10" t="str">
        <f ca="1">IFERROR(__xludf.DUMMYFUNCTION("""COMPUTED_VALUE"""),"Conversions_Retargeting")</f>
        <v>Conversions_Retargeting</v>
      </c>
      <c r="D53" s="2">
        <f ca="1">IFERROR(__xludf.DUMMYFUNCTION("""COMPUTED_VALUE"""),14234)</f>
        <v>14234</v>
      </c>
      <c r="E53" s="2">
        <f ca="1">IFERROR(__xludf.DUMMYFUNCTION("""COMPUTED_VALUE"""),678)</f>
        <v>678</v>
      </c>
      <c r="F53" s="2">
        <f ca="1">IFERROR(__xludf.DUMMYFUNCTION("""COMPUTED_VALUE"""),248.5)</f>
        <v>248.5</v>
      </c>
      <c r="G53" s="2">
        <f ca="1">IFERROR(__xludf.DUMMYFUNCTION("""COMPUTED_VALUE"""),42)</f>
        <v>42</v>
      </c>
    </row>
    <row r="54" spans="1:7" ht="22.5" customHeight="1" x14ac:dyDescent="0.2">
      <c r="A54" s="2" t="str">
        <f ca="1">IFERROR(__xludf.DUMMYFUNCTION("""COMPUTED_VALUE"""),"2024-01-16")</f>
        <v>2024-01-16</v>
      </c>
      <c r="B54" s="10" t="str">
        <f ca="1">IFERROR(__xludf.DUMMYFUNCTION("""COMPUTED_VALUE"""),"Facebook")</f>
        <v>Facebook</v>
      </c>
      <c r="C54" s="10" t="str">
        <f ca="1">IFERROR(__xludf.DUMMYFUNCTION("""COMPUTED_VALUE"""),"Traffic_Drive_Jan")</f>
        <v>Traffic_Drive_Jan</v>
      </c>
      <c r="D54" s="2">
        <f ca="1">IFERROR(__xludf.DUMMYFUNCTION("""COMPUTED_VALUE"""),38456)</f>
        <v>38456</v>
      </c>
      <c r="E54" s="2">
        <f ca="1">IFERROR(__xludf.DUMMYFUNCTION("""COMPUTED_VALUE"""),1423)</f>
        <v>1423</v>
      </c>
      <c r="F54" s="2">
        <f ca="1">IFERROR(__xludf.DUMMYFUNCTION("""COMPUTED_VALUE"""),218.7)</f>
        <v>218.7</v>
      </c>
      <c r="G54" s="2">
        <f ca="1">IFERROR(__xludf.DUMMYFUNCTION("""COMPUTED_VALUE"""),30)</f>
        <v>30</v>
      </c>
    </row>
    <row r="55" spans="1:7" ht="22.5" customHeight="1" x14ac:dyDescent="0.2">
      <c r="A55" s="2" t="str">
        <f ca="1">IFERROR(__xludf.DUMMYFUNCTION("""COMPUTED_VALUE"""),"2024-01-16")</f>
        <v>2024-01-16</v>
      </c>
      <c r="B55" s="10" t="str">
        <f ca="1">IFERROR(__xludf.DUMMYFUNCTION("""COMPUTED_VALUE"""),"Facebook")</f>
        <v>Facebook</v>
      </c>
      <c r="C55" s="10" t="str">
        <f ca="1">IFERROR(__xludf.DUMMYFUNCTION("""COMPUTED_VALUE"""),"Video_Views_Campaign")</f>
        <v>Video_Views_Campaign</v>
      </c>
      <c r="D55" s="2">
        <f ca="1">IFERROR(__xludf.DUMMYFUNCTION("""COMPUTED_VALUE"""),73456)</f>
        <v>73456</v>
      </c>
      <c r="E55" s="2">
        <f ca="1">IFERROR(__xludf.DUMMYFUNCTION("""COMPUTED_VALUE"""),267)</f>
        <v>267</v>
      </c>
      <c r="F55" s="2">
        <f ca="1">IFERROR(__xludf.DUMMYFUNCTION("""COMPUTED_VALUE"""),94.2)</f>
        <v>94.2</v>
      </c>
      <c r="G55" s="2">
        <f ca="1">IFERROR(__xludf.DUMMYFUNCTION("""COMPUTED_VALUE"""),7)</f>
        <v>7</v>
      </c>
    </row>
    <row r="56" spans="1:7" ht="22.5" customHeight="1" x14ac:dyDescent="0.2">
      <c r="A56" s="2" t="str">
        <f ca="1">IFERROR(__xludf.DUMMYFUNCTION("""COMPUTED_VALUE"""),"2024-01-17")</f>
        <v>2024-01-17</v>
      </c>
      <c r="B56" s="10" t="str">
        <f ca="1">IFERROR(__xludf.DUMMYFUNCTION("""COMPUTED_VALUE"""),"Facebook")</f>
        <v>Facebook</v>
      </c>
      <c r="C56" s="10" t="str">
        <f ca="1">IFERROR(__xludf.DUMMYFUNCTION("""COMPUTED_VALUE"""),"Brand_Awareness_Q1")</f>
        <v>Brand_Awareness_Q1</v>
      </c>
      <c r="D56" s="2">
        <f ca="1">IFERROR(__xludf.DUMMYFUNCTION("""COMPUTED_VALUE"""),51789)</f>
        <v>51789</v>
      </c>
      <c r="E56" s="2">
        <f ca="1">IFERROR(__xludf.DUMMYFUNCTION("""COMPUTED_VALUE"""),1089)</f>
        <v>1089</v>
      </c>
      <c r="F56" s="2">
        <f ca="1">IFERROR(__xludf.DUMMYFUNCTION("""COMPUTED_VALUE"""),152.3)</f>
        <v>152.30000000000001</v>
      </c>
      <c r="G56" s="2">
        <f ca="1">IFERROR(__xludf.DUMMYFUNCTION("""COMPUTED_VALUE"""),18)</f>
        <v>18</v>
      </c>
    </row>
    <row r="57" spans="1:7" ht="22.5" customHeight="1" x14ac:dyDescent="0.2">
      <c r="A57" s="2" t="str">
        <f ca="1">IFERROR(__xludf.DUMMYFUNCTION("""COMPUTED_VALUE"""),"2024-01-17")</f>
        <v>2024-01-17</v>
      </c>
      <c r="B57" s="10" t="str">
        <f ca="1">IFERROR(__xludf.DUMMYFUNCTION("""COMPUTED_VALUE"""),"Facebook")</f>
        <v>Facebook</v>
      </c>
      <c r="C57" s="10" t="str">
        <f ca="1">IFERROR(__xludf.DUMMYFUNCTION("""COMPUTED_VALUE"""),"Conversions_Retargeting")</f>
        <v>Conversions_Retargeting</v>
      </c>
      <c r="D57" s="2">
        <f ca="1">IFERROR(__xludf.DUMMYFUNCTION("""COMPUTED_VALUE"""),15234)</f>
        <v>15234</v>
      </c>
      <c r="E57" s="2">
        <f ca="1">IFERROR(__xludf.DUMMYFUNCTION("""COMPUTED_VALUE"""),734)</f>
        <v>734</v>
      </c>
      <c r="F57" s="2">
        <f ca="1">IFERROR(__xludf.DUMMYFUNCTION("""COMPUTED_VALUE"""),264.7)</f>
        <v>264.7</v>
      </c>
      <c r="G57" s="2">
        <f ca="1">IFERROR(__xludf.DUMMYFUNCTION("""COMPUTED_VALUE"""),46)</f>
        <v>46</v>
      </c>
    </row>
    <row r="58" spans="1:7" ht="22.5" customHeight="1" x14ac:dyDescent="0.2">
      <c r="A58" s="2" t="str">
        <f ca="1">IFERROR(__xludf.DUMMYFUNCTION("""COMPUTED_VALUE"""),"2024-01-17")</f>
        <v>2024-01-17</v>
      </c>
      <c r="B58" s="10" t="str">
        <f ca="1">IFERROR(__xludf.DUMMYFUNCTION("""COMPUTED_VALUE"""),"Facebook")</f>
        <v>Facebook</v>
      </c>
      <c r="C58" s="10" t="str">
        <f ca="1">IFERROR(__xludf.DUMMYFUNCTION("""COMPUTED_VALUE"""),"Traffic_Drive_Jan")</f>
        <v>Traffic_Drive_Jan</v>
      </c>
      <c r="D58" s="2">
        <f ca="1">IFERROR(__xludf.DUMMYFUNCTION("""COMPUTED_VALUE"""),40123)</f>
        <v>40123</v>
      </c>
      <c r="E58" s="2">
        <f ca="1">IFERROR(__xludf.DUMMYFUNCTION("""COMPUTED_VALUE"""),1534)</f>
        <v>1534</v>
      </c>
      <c r="F58" s="2">
        <f ca="1">IFERROR(__xludf.DUMMYFUNCTION("""COMPUTED_VALUE"""),232.8)</f>
        <v>232.8</v>
      </c>
      <c r="G58" s="2">
        <f ca="1">IFERROR(__xludf.DUMMYFUNCTION("""COMPUTED_VALUE"""),33)</f>
        <v>33</v>
      </c>
    </row>
    <row r="59" spans="1:7" ht="22.5" customHeight="1" x14ac:dyDescent="0.2">
      <c r="A59" s="2" t="str">
        <f ca="1">IFERROR(__xludf.DUMMYFUNCTION("""COMPUTED_VALUE"""),"2024-01-17")</f>
        <v>2024-01-17</v>
      </c>
      <c r="B59" s="10" t="str">
        <f ca="1">IFERROR(__xludf.DUMMYFUNCTION("""COMPUTED_VALUE"""),"Facebook")</f>
        <v>Facebook</v>
      </c>
      <c r="C59" s="10" t="str">
        <f ca="1">IFERROR(__xludf.DUMMYFUNCTION("""COMPUTED_VALUE"""),"Video_Views_Campaign")</f>
        <v>Video_Views_Campaign</v>
      </c>
      <c r="D59" s="2">
        <f ca="1">IFERROR(__xludf.DUMMYFUNCTION("""COMPUTED_VALUE"""),75890)</f>
        <v>75890</v>
      </c>
      <c r="E59" s="2">
        <f ca="1">IFERROR(__xludf.DUMMYFUNCTION("""COMPUTED_VALUE"""),278)</f>
        <v>278</v>
      </c>
      <c r="F59" s="2">
        <f ca="1">IFERROR(__xludf.DUMMYFUNCTION("""COMPUTED_VALUE"""),98.5)</f>
        <v>98.5</v>
      </c>
      <c r="G59" s="2">
        <f ca="1">IFERROR(__xludf.DUMMYFUNCTION("""COMPUTED_VALUE"""),8)</f>
        <v>8</v>
      </c>
    </row>
    <row r="60" spans="1:7" ht="22.5" customHeight="1" x14ac:dyDescent="0.2">
      <c r="A60" s="2" t="str">
        <f ca="1">IFERROR(__xludf.DUMMYFUNCTION("""COMPUTED_VALUE"""),"2024-01-18")</f>
        <v>2024-01-18</v>
      </c>
      <c r="B60" s="10" t="str">
        <f ca="1">IFERROR(__xludf.DUMMYFUNCTION("""COMPUTED_VALUE"""),"Facebook")</f>
        <v>Facebook</v>
      </c>
      <c r="C60" s="10" t="str">
        <f ca="1">IFERROR(__xludf.DUMMYFUNCTION("""COMPUTED_VALUE"""),"Brand_Awareness_Q1")</f>
        <v>Brand_Awareness_Q1</v>
      </c>
      <c r="D60" s="2">
        <f ca="1">IFERROR(__xludf.DUMMYFUNCTION("""COMPUTED_VALUE"""),49567)</f>
        <v>49567</v>
      </c>
      <c r="E60" s="2">
        <f ca="1">IFERROR(__xludf.DUMMYFUNCTION("""COMPUTED_VALUE"""),1012)</f>
        <v>1012</v>
      </c>
      <c r="F60" s="2">
        <f ca="1">IFERROR(__xludf.DUMMYFUNCTION("""COMPUTED_VALUE"""),144.6)</f>
        <v>144.6</v>
      </c>
      <c r="G60" s="2">
        <f ca="1">IFERROR(__xludf.DUMMYFUNCTION("""COMPUTED_VALUE"""),16)</f>
        <v>16</v>
      </c>
    </row>
    <row r="61" spans="1:7" ht="22.5" customHeight="1" x14ac:dyDescent="0.2">
      <c r="A61" s="2" t="str">
        <f ca="1">IFERROR(__xludf.DUMMYFUNCTION("""COMPUTED_VALUE"""),"2024-01-18")</f>
        <v>2024-01-18</v>
      </c>
      <c r="B61" s="10" t="str">
        <f ca="1">IFERROR(__xludf.DUMMYFUNCTION("""COMPUTED_VALUE"""),"Facebook")</f>
        <v>Facebook</v>
      </c>
      <c r="C61" s="10" t="str">
        <f ca="1">IFERROR(__xludf.DUMMYFUNCTION("""COMPUTED_VALUE"""),"Conversions_Retargeting")</f>
        <v>Conversions_Retargeting</v>
      </c>
      <c r="D61" s="2">
        <f ca="1">IFERROR(__xludf.DUMMYFUNCTION("""COMPUTED_VALUE"""),14567)</f>
        <v>14567</v>
      </c>
      <c r="E61" s="2">
        <f ca="1">IFERROR(__xludf.DUMMYFUNCTION("""COMPUTED_VALUE"""),689)</f>
        <v>689</v>
      </c>
      <c r="F61" s="2">
        <f ca="1">IFERROR(__xludf.DUMMYFUNCTION("""COMPUTED_VALUE"""),253.4)</f>
        <v>253.4</v>
      </c>
      <c r="G61" s="2">
        <f ca="1">IFERROR(__xludf.DUMMYFUNCTION("""COMPUTED_VALUE"""),43)</f>
        <v>43</v>
      </c>
    </row>
    <row r="62" spans="1:7" ht="22.5" customHeight="1" x14ac:dyDescent="0.2">
      <c r="A62" s="2" t="str">
        <f ca="1">IFERROR(__xludf.DUMMYFUNCTION("""COMPUTED_VALUE"""),"2024-01-18")</f>
        <v>2024-01-18</v>
      </c>
      <c r="B62" s="10" t="str">
        <f ca="1">IFERROR(__xludf.DUMMYFUNCTION("""COMPUTED_VALUE"""),"Facebook")</f>
        <v>Facebook</v>
      </c>
      <c r="C62" s="10" t="str">
        <f ca="1">IFERROR(__xludf.DUMMYFUNCTION("""COMPUTED_VALUE"""),"Traffic_Drive_Jan")</f>
        <v>Traffic_Drive_Jan</v>
      </c>
      <c r="D62" s="2">
        <f ca="1">IFERROR(__xludf.DUMMYFUNCTION("""COMPUTED_VALUE"""),38901)</f>
        <v>38901</v>
      </c>
      <c r="E62" s="2">
        <f ca="1">IFERROR(__xludf.DUMMYFUNCTION("""COMPUTED_VALUE"""),1456)</f>
        <v>1456</v>
      </c>
      <c r="F62" s="2">
        <f ca="1">IFERROR(__xludf.DUMMYFUNCTION("""COMPUTED_VALUE"""),224.5)</f>
        <v>224.5</v>
      </c>
      <c r="G62" s="2">
        <f ca="1">IFERROR(__xludf.DUMMYFUNCTION("""COMPUTED_VALUE"""),31)</f>
        <v>31</v>
      </c>
    </row>
    <row r="63" spans="1:7" ht="22.5" customHeight="1" x14ac:dyDescent="0.2">
      <c r="A63" s="2" t="str">
        <f ca="1">IFERROR(__xludf.DUMMYFUNCTION("""COMPUTED_VALUE"""),"2024-01-18")</f>
        <v>2024-01-18</v>
      </c>
      <c r="B63" s="10" t="str">
        <f ca="1">IFERROR(__xludf.DUMMYFUNCTION("""COMPUTED_VALUE"""),"Facebook")</f>
        <v>Facebook</v>
      </c>
      <c r="C63" s="10" t="str">
        <f ca="1">IFERROR(__xludf.DUMMYFUNCTION("""COMPUTED_VALUE"""),"Video_Views_Campaign")</f>
        <v>Video_Views_Campaign</v>
      </c>
      <c r="D63" s="2">
        <f ca="1">IFERROR(__xludf.DUMMYFUNCTION("""COMPUTED_VALUE"""),72345)</f>
        <v>72345</v>
      </c>
      <c r="E63" s="2">
        <f ca="1">IFERROR(__xludf.DUMMYFUNCTION("""COMPUTED_VALUE"""),261)</f>
        <v>261</v>
      </c>
      <c r="F63" s="2">
        <f ca="1">IFERROR(__xludf.DUMMYFUNCTION("""COMPUTED_VALUE"""),92.7)</f>
        <v>92.7</v>
      </c>
      <c r="G63" s="2">
        <f ca="1">IFERROR(__xludf.DUMMYFUNCTION("""COMPUTED_VALUE"""),7)</f>
        <v>7</v>
      </c>
    </row>
    <row r="64" spans="1:7" ht="22.5" customHeight="1" x14ac:dyDescent="0.2">
      <c r="A64" s="2" t="str">
        <f ca="1">IFERROR(__xludf.DUMMYFUNCTION("""COMPUTED_VALUE"""),"2024-01-19")</f>
        <v>2024-01-19</v>
      </c>
      <c r="B64" s="10" t="str">
        <f ca="1">IFERROR(__xludf.DUMMYFUNCTION("""COMPUTED_VALUE"""),"Facebook")</f>
        <v>Facebook</v>
      </c>
      <c r="C64" s="10" t="str">
        <f ca="1">IFERROR(__xludf.DUMMYFUNCTION("""COMPUTED_VALUE"""),"Brand_Awareness_Q1")</f>
        <v>Brand_Awareness_Q1</v>
      </c>
      <c r="D64" s="2">
        <f ca="1">IFERROR(__xludf.DUMMYFUNCTION("""COMPUTED_VALUE"""),47890)</f>
        <v>47890</v>
      </c>
      <c r="E64" s="2">
        <f ca="1">IFERROR(__xludf.DUMMYFUNCTION("""COMPUTED_VALUE"""),967)</f>
        <v>967</v>
      </c>
      <c r="F64" s="2">
        <f ca="1">IFERROR(__xludf.DUMMYFUNCTION("""COMPUTED_VALUE"""),138.4)</f>
        <v>138.4</v>
      </c>
      <c r="G64" s="2">
        <f ca="1">IFERROR(__xludf.DUMMYFUNCTION("""COMPUTED_VALUE"""),15)</f>
        <v>15</v>
      </c>
    </row>
    <row r="65" spans="1:7" ht="22.5" customHeight="1" x14ac:dyDescent="0.2">
      <c r="A65" s="2" t="str">
        <f ca="1">IFERROR(__xludf.DUMMYFUNCTION("""COMPUTED_VALUE"""),"2024-01-19")</f>
        <v>2024-01-19</v>
      </c>
      <c r="B65" s="10" t="str">
        <f ca="1">IFERROR(__xludf.DUMMYFUNCTION("""COMPUTED_VALUE"""),"Facebook")</f>
        <v>Facebook</v>
      </c>
      <c r="C65" s="10" t="str">
        <f ca="1">IFERROR(__xludf.DUMMYFUNCTION("""COMPUTED_VALUE"""),"Conversions_Retargeting")</f>
        <v>Conversions_Retargeting</v>
      </c>
      <c r="D65" s="2">
        <f ca="1">IFERROR(__xludf.DUMMYFUNCTION("""COMPUTED_VALUE"""),13890)</f>
        <v>13890</v>
      </c>
      <c r="E65" s="2">
        <f ca="1">IFERROR(__xludf.DUMMYFUNCTION("""COMPUTED_VALUE"""),634)</f>
        <v>634</v>
      </c>
      <c r="F65" s="2">
        <f ca="1">IFERROR(__xludf.DUMMYFUNCTION("""COMPUTED_VALUE"""),235.8)</f>
        <v>235.8</v>
      </c>
      <c r="G65" s="2">
        <f ca="1">IFERROR(__xludf.DUMMYFUNCTION("""COMPUTED_VALUE"""),40)</f>
        <v>40</v>
      </c>
    </row>
    <row r="66" spans="1:7" ht="22.5" customHeight="1" x14ac:dyDescent="0.2">
      <c r="A66" s="2" t="str">
        <f ca="1">IFERROR(__xludf.DUMMYFUNCTION("""COMPUTED_VALUE"""),"2024-01-19")</f>
        <v>2024-01-19</v>
      </c>
      <c r="B66" s="10" t="str">
        <f ca="1">IFERROR(__xludf.DUMMYFUNCTION("""COMPUTED_VALUE"""),"Facebook")</f>
        <v>Facebook</v>
      </c>
      <c r="C66" s="10" t="str">
        <f ca="1">IFERROR(__xludf.DUMMYFUNCTION("""COMPUTED_VALUE"""),"Traffic_Drive_Jan")</f>
        <v>Traffic_Drive_Jan</v>
      </c>
      <c r="D66" s="2">
        <f ca="1">IFERROR(__xludf.DUMMYFUNCTION("""COMPUTED_VALUE"""),37234)</f>
        <v>37234</v>
      </c>
      <c r="E66" s="2">
        <f ca="1">IFERROR(__xludf.DUMMYFUNCTION("""COMPUTED_VALUE"""),1367)</f>
        <v>1367</v>
      </c>
      <c r="F66" s="2">
        <f ca="1">IFERROR(__xludf.DUMMYFUNCTION("""COMPUTED_VALUE"""),209.9)</f>
        <v>209.9</v>
      </c>
      <c r="G66" s="2">
        <f ca="1">IFERROR(__xludf.DUMMYFUNCTION("""COMPUTED_VALUE"""),28)</f>
        <v>28</v>
      </c>
    </row>
    <row r="67" spans="1:7" ht="22.5" customHeight="1" x14ac:dyDescent="0.2">
      <c r="A67" s="2" t="str">
        <f ca="1">IFERROR(__xludf.DUMMYFUNCTION("""COMPUTED_VALUE"""),"2024-01-19")</f>
        <v>2024-01-19</v>
      </c>
      <c r="B67" s="10" t="str">
        <f ca="1">IFERROR(__xludf.DUMMYFUNCTION("""COMPUTED_VALUE"""),"Facebook")</f>
        <v>Facebook</v>
      </c>
      <c r="C67" s="10" t="str">
        <f ca="1">IFERROR(__xludf.DUMMYFUNCTION("""COMPUTED_VALUE"""),"Video_Views_Campaign")</f>
        <v>Video_Views_Campaign</v>
      </c>
      <c r="D67" s="2">
        <f ca="1">IFERROR(__xludf.DUMMYFUNCTION("""COMPUTED_VALUE"""),70123)</f>
        <v>70123</v>
      </c>
      <c r="E67" s="2">
        <f ca="1">IFERROR(__xludf.DUMMYFUNCTION("""COMPUTED_VALUE"""),253)</f>
        <v>253</v>
      </c>
      <c r="F67" s="2">
        <f ca="1">IFERROR(__xludf.DUMMYFUNCTION("""COMPUTED_VALUE"""),89.4)</f>
        <v>89.4</v>
      </c>
      <c r="G67" s="2">
        <f ca="1">IFERROR(__xludf.DUMMYFUNCTION("""COMPUTED_VALUE"""),6)</f>
        <v>6</v>
      </c>
    </row>
    <row r="68" spans="1:7" ht="22.5" customHeight="1" x14ac:dyDescent="0.2">
      <c r="A68" s="2" t="str">
        <f ca="1">IFERROR(__xludf.DUMMYFUNCTION("""COMPUTED_VALUE"""),"2024-01-20")</f>
        <v>2024-01-20</v>
      </c>
      <c r="B68" s="10" t="str">
        <f ca="1">IFERROR(__xludf.DUMMYFUNCTION("""COMPUTED_VALUE"""),"Facebook")</f>
        <v>Facebook</v>
      </c>
      <c r="C68" s="10" t="str">
        <f ca="1">IFERROR(__xludf.DUMMYFUNCTION("""COMPUTED_VALUE"""),"Brand_Awareness_Q1")</f>
        <v>Brand_Awareness_Q1</v>
      </c>
      <c r="D68" s="2">
        <f ca="1">IFERROR(__xludf.DUMMYFUNCTION("""COMPUTED_VALUE"""),43234)</f>
        <v>43234</v>
      </c>
      <c r="E68" s="2">
        <f ca="1">IFERROR(__xludf.DUMMYFUNCTION("""COMPUTED_VALUE"""),878)</f>
        <v>878</v>
      </c>
      <c r="F68" s="2">
        <f ca="1">IFERROR(__xludf.DUMMYFUNCTION("""COMPUTED_VALUE"""),125.7)</f>
        <v>125.7</v>
      </c>
      <c r="G68" s="2">
        <f ca="1">IFERROR(__xludf.DUMMYFUNCTION("""COMPUTED_VALUE"""),13)</f>
        <v>13</v>
      </c>
    </row>
    <row r="69" spans="1:7" ht="22.5" customHeight="1" x14ac:dyDescent="0.2">
      <c r="A69" s="2" t="str">
        <f ca="1">IFERROR(__xludf.DUMMYFUNCTION("""COMPUTED_VALUE"""),"2024-01-20")</f>
        <v>2024-01-20</v>
      </c>
      <c r="B69" s="10" t="str">
        <f ca="1">IFERROR(__xludf.DUMMYFUNCTION("""COMPUTED_VALUE"""),"Facebook")</f>
        <v>Facebook</v>
      </c>
      <c r="C69" s="10" t="str">
        <f ca="1">IFERROR(__xludf.DUMMYFUNCTION("""COMPUTED_VALUE"""),"Conversions_Retargeting")</f>
        <v>Conversions_Retargeting</v>
      </c>
      <c r="D69" s="2">
        <f ca="1">IFERROR(__xludf.DUMMYFUNCTION("""COMPUTED_VALUE"""),11890)</f>
        <v>11890</v>
      </c>
      <c r="E69" s="2">
        <f ca="1">IFERROR(__xludf.DUMMYFUNCTION("""COMPUTED_VALUE"""),545)</f>
        <v>545</v>
      </c>
      <c r="F69" s="2">
        <f ca="1">IFERROR(__xludf.DUMMYFUNCTION("""COMPUTED_VALUE"""),202.3)</f>
        <v>202.3</v>
      </c>
      <c r="G69" s="2">
        <f ca="1">IFERROR(__xludf.DUMMYFUNCTION("""COMPUTED_VALUE"""),34)</f>
        <v>34</v>
      </c>
    </row>
    <row r="70" spans="1:7" ht="22.5" customHeight="1" x14ac:dyDescent="0.2">
      <c r="A70" s="2" t="str">
        <f ca="1">IFERROR(__xludf.DUMMYFUNCTION("""COMPUTED_VALUE"""),"2024-01-20")</f>
        <v>2024-01-20</v>
      </c>
      <c r="B70" s="10" t="str">
        <f ca="1">IFERROR(__xludf.DUMMYFUNCTION("""COMPUTED_VALUE"""),"Facebook")</f>
        <v>Facebook</v>
      </c>
      <c r="C70" s="10" t="str">
        <f ca="1">IFERROR(__xludf.DUMMYFUNCTION("""COMPUTED_VALUE"""),"Traffic_Drive_Jan")</f>
        <v>Traffic_Drive_Jan</v>
      </c>
      <c r="D70" s="2">
        <f ca="1">IFERROR(__xludf.DUMMYFUNCTION("""COMPUTED_VALUE"""),34567)</f>
        <v>34567</v>
      </c>
      <c r="E70" s="2">
        <f ca="1">IFERROR(__xludf.DUMMYFUNCTION("""COMPUTED_VALUE"""),1234)</f>
        <v>1234</v>
      </c>
      <c r="F70" s="2">
        <f ca="1">IFERROR(__xludf.DUMMYFUNCTION("""COMPUTED_VALUE"""),189.6)</f>
        <v>189.6</v>
      </c>
      <c r="G70" s="2">
        <f ca="1">IFERROR(__xludf.DUMMYFUNCTION("""COMPUTED_VALUE"""),24)</f>
        <v>24</v>
      </c>
    </row>
    <row r="71" spans="1:7" ht="22.5" customHeight="1" x14ac:dyDescent="0.2">
      <c r="A71" s="2" t="str">
        <f ca="1">IFERROR(__xludf.DUMMYFUNCTION("""COMPUTED_VALUE"""),"2024-01-20")</f>
        <v>2024-01-20</v>
      </c>
      <c r="B71" s="10" t="str">
        <f ca="1">IFERROR(__xludf.DUMMYFUNCTION("""COMPUTED_VALUE"""),"Facebook")</f>
        <v>Facebook</v>
      </c>
      <c r="C71" s="10" t="str">
        <f ca="1">IFERROR(__xludf.DUMMYFUNCTION("""COMPUTED_VALUE"""),"Video_Views_Campaign")</f>
        <v>Video_Views_Campaign</v>
      </c>
      <c r="D71" s="2">
        <f ca="1">IFERROR(__xludf.DUMMYFUNCTION("""COMPUTED_VALUE"""),65234)</f>
        <v>65234</v>
      </c>
      <c r="E71" s="2">
        <f ca="1">IFERROR(__xludf.DUMMYFUNCTION("""COMPUTED_VALUE"""),234)</f>
        <v>234</v>
      </c>
      <c r="F71" s="2">
        <f ca="1">IFERROR(__xludf.DUMMYFUNCTION("""COMPUTED_VALUE"""),81.2)</f>
        <v>81.2</v>
      </c>
      <c r="G71" s="2">
        <f ca="1">IFERROR(__xludf.DUMMYFUNCTION("""COMPUTED_VALUE"""),5)</f>
        <v>5</v>
      </c>
    </row>
    <row r="72" spans="1:7" ht="22.5" customHeight="1" x14ac:dyDescent="0.2">
      <c r="A72" s="2" t="str">
        <f ca="1">IFERROR(__xludf.DUMMYFUNCTION("""COMPUTED_VALUE"""),"2024-01-21")</f>
        <v>2024-01-21</v>
      </c>
      <c r="B72" s="10" t="str">
        <f ca="1">IFERROR(__xludf.DUMMYFUNCTION("""COMPUTED_VALUE"""),"Facebook")</f>
        <v>Facebook</v>
      </c>
      <c r="C72" s="10" t="str">
        <f ca="1">IFERROR(__xludf.DUMMYFUNCTION("""COMPUTED_VALUE"""),"Brand_Awareness_Q1")</f>
        <v>Brand_Awareness_Q1</v>
      </c>
      <c r="D72" s="2">
        <f ca="1">IFERROR(__xludf.DUMMYFUNCTION("""COMPUTED_VALUE"""),41567)</f>
        <v>41567</v>
      </c>
      <c r="E72" s="2">
        <f ca="1">IFERROR(__xludf.DUMMYFUNCTION("""COMPUTED_VALUE"""),823)</f>
        <v>823</v>
      </c>
      <c r="F72" s="2">
        <f ca="1">IFERROR(__xludf.DUMMYFUNCTION("""COMPUTED_VALUE"""),118.9)</f>
        <v>118.9</v>
      </c>
      <c r="G72" s="2">
        <f ca="1">IFERROR(__xludf.DUMMYFUNCTION("""COMPUTED_VALUE"""),12)</f>
        <v>12</v>
      </c>
    </row>
    <row r="73" spans="1:7" ht="22.5" customHeight="1" x14ac:dyDescent="0.2">
      <c r="A73" s="2" t="str">
        <f ca="1">IFERROR(__xludf.DUMMYFUNCTION("""COMPUTED_VALUE"""),"2024-01-21")</f>
        <v>2024-01-21</v>
      </c>
      <c r="B73" s="10" t="str">
        <f ca="1">IFERROR(__xludf.DUMMYFUNCTION("""COMPUTED_VALUE"""),"Facebook")</f>
        <v>Facebook</v>
      </c>
      <c r="C73" s="10" t="str">
        <f ca="1">IFERROR(__xludf.DUMMYFUNCTION("""COMPUTED_VALUE"""),"Conversions_Retargeting")</f>
        <v>Conversions_Retargeting</v>
      </c>
      <c r="D73" s="2">
        <f ca="1">IFERROR(__xludf.DUMMYFUNCTION("""COMPUTED_VALUE"""),10234)</f>
        <v>10234</v>
      </c>
      <c r="E73" s="2">
        <f ca="1">IFERROR(__xludf.DUMMYFUNCTION("""COMPUTED_VALUE"""),467)</f>
        <v>467</v>
      </c>
      <c r="F73" s="2">
        <f ca="1">IFERROR(__xludf.DUMMYFUNCTION("""COMPUTED_VALUE"""),178.4)</f>
        <v>178.4</v>
      </c>
      <c r="G73" s="2">
        <f ca="1">IFERROR(__xludf.DUMMYFUNCTION("""COMPUTED_VALUE"""),30)</f>
        <v>30</v>
      </c>
    </row>
    <row r="74" spans="1:7" ht="22.5" customHeight="1" x14ac:dyDescent="0.2">
      <c r="A74" s="2" t="str">
        <f ca="1">IFERROR(__xludf.DUMMYFUNCTION("""COMPUTED_VALUE"""),"2024-01-21")</f>
        <v>2024-01-21</v>
      </c>
      <c r="B74" s="10" t="str">
        <f ca="1">IFERROR(__xludf.DUMMYFUNCTION("""COMPUTED_VALUE"""),"Facebook")</f>
        <v>Facebook</v>
      </c>
      <c r="C74" s="10" t="str">
        <f ca="1">IFERROR(__xludf.DUMMYFUNCTION("""COMPUTED_VALUE"""),"Traffic_Drive_Jan")</f>
        <v>Traffic_Drive_Jan</v>
      </c>
      <c r="D74" s="2">
        <f ca="1">IFERROR(__xludf.DUMMYFUNCTION("""COMPUTED_VALUE"""),32890)</f>
        <v>32890</v>
      </c>
      <c r="E74" s="2">
        <f ca="1">IFERROR(__xludf.DUMMYFUNCTION("""COMPUTED_VALUE"""),1178)</f>
        <v>1178</v>
      </c>
      <c r="F74" s="2">
        <f ca="1">IFERROR(__xludf.DUMMYFUNCTION("""COMPUTED_VALUE"""),171.2)</f>
        <v>171.2</v>
      </c>
      <c r="G74" s="2">
        <f ca="1">IFERROR(__xludf.DUMMYFUNCTION("""COMPUTED_VALUE"""),22)</f>
        <v>22</v>
      </c>
    </row>
    <row r="75" spans="1:7" ht="22.5" customHeight="1" x14ac:dyDescent="0.2">
      <c r="A75" s="2" t="str">
        <f ca="1">IFERROR(__xludf.DUMMYFUNCTION("""COMPUTED_VALUE"""),"2024-01-21")</f>
        <v>2024-01-21</v>
      </c>
      <c r="B75" s="10" t="str">
        <f ca="1">IFERROR(__xludf.DUMMYFUNCTION("""COMPUTED_VALUE"""),"Facebook")</f>
        <v>Facebook</v>
      </c>
      <c r="C75" s="10" t="str">
        <f ca="1">IFERROR(__xludf.DUMMYFUNCTION("""COMPUTED_VALUE"""),"Video_Views_Campaign")</f>
        <v>Video_Views_Campaign</v>
      </c>
      <c r="D75" s="2">
        <f ca="1">IFERROR(__xludf.DUMMYFUNCTION("""COMPUTED_VALUE"""),62345)</f>
        <v>62345</v>
      </c>
      <c r="E75" s="2">
        <f ca="1">IFERROR(__xludf.DUMMYFUNCTION("""COMPUTED_VALUE"""),223)</f>
        <v>223</v>
      </c>
      <c r="F75" s="2">
        <f ca="1">IFERROR(__xludf.DUMMYFUNCTION("""COMPUTED_VALUE"""),76.3)</f>
        <v>76.3</v>
      </c>
      <c r="G75" s="2">
        <f ca="1">IFERROR(__xludf.DUMMYFUNCTION("""COMPUTED_VALUE"""),4)</f>
        <v>4</v>
      </c>
    </row>
    <row r="76" spans="1:7" ht="22.5" customHeight="1" x14ac:dyDescent="0.2">
      <c r="A76" s="2" t="str">
        <f ca="1">IFERROR(__xludf.DUMMYFUNCTION("""COMPUTED_VALUE"""),"2024-01-22")</f>
        <v>2024-01-22</v>
      </c>
      <c r="B76" s="10" t="str">
        <f ca="1">IFERROR(__xludf.DUMMYFUNCTION("""COMPUTED_VALUE"""),"Facebook")</f>
        <v>Facebook</v>
      </c>
      <c r="C76" s="10" t="str">
        <f ca="1">IFERROR(__xludf.DUMMYFUNCTION("""COMPUTED_VALUE"""),"Brand_Awareness_Q1")</f>
        <v>Brand_Awareness_Q1</v>
      </c>
      <c r="D76" s="2">
        <f ca="1">IFERROR(__xludf.DUMMYFUNCTION("""COMPUTED_VALUE"""),45234)</f>
        <v>45234</v>
      </c>
      <c r="E76" s="2">
        <f ca="1">IFERROR(__xludf.DUMMYFUNCTION("""COMPUTED_VALUE"""),912)</f>
        <v>912</v>
      </c>
      <c r="F76" s="2">
        <f ca="1">IFERROR(__xludf.DUMMYFUNCTION("""COMPUTED_VALUE"""),129.8)</f>
        <v>129.80000000000001</v>
      </c>
      <c r="G76" s="2">
        <f ca="1">IFERROR(__xludf.DUMMYFUNCTION("""COMPUTED_VALUE"""),14)</f>
        <v>14</v>
      </c>
    </row>
    <row r="77" spans="1:7" ht="22.5" customHeight="1" x14ac:dyDescent="0.2">
      <c r="A77" s="2" t="str">
        <f ca="1">IFERROR(__xludf.DUMMYFUNCTION("""COMPUTED_VALUE"""),"2024-01-22")</f>
        <v>2024-01-22</v>
      </c>
      <c r="B77" s="10" t="str">
        <f ca="1">IFERROR(__xludf.DUMMYFUNCTION("""COMPUTED_VALUE"""),"Facebook")</f>
        <v>Facebook</v>
      </c>
      <c r="C77" s="10" t="str">
        <f ca="1">IFERROR(__xludf.DUMMYFUNCTION("""COMPUTED_VALUE"""),"Conversions_Retargeting")</f>
        <v>Conversions_Retargeting</v>
      </c>
      <c r="D77" s="2">
        <f ca="1">IFERROR(__xludf.DUMMYFUNCTION("""COMPUTED_VALUE"""),12456)</f>
        <v>12456</v>
      </c>
      <c r="E77" s="2">
        <f ca="1">IFERROR(__xludf.DUMMYFUNCTION("""COMPUTED_VALUE"""),567)</f>
        <v>567</v>
      </c>
      <c r="F77" s="2">
        <f ca="1">IFERROR(__xludf.DUMMYFUNCTION("""COMPUTED_VALUE"""),209.6)</f>
        <v>209.6</v>
      </c>
      <c r="G77" s="2">
        <f ca="1">IFERROR(__xludf.DUMMYFUNCTION("""COMPUTED_VALUE"""),36)</f>
        <v>36</v>
      </c>
    </row>
    <row r="78" spans="1:7" ht="22.5" customHeight="1" x14ac:dyDescent="0.2">
      <c r="A78" s="2" t="str">
        <f ca="1">IFERROR(__xludf.DUMMYFUNCTION("""COMPUTED_VALUE"""),"2024-01-22")</f>
        <v>2024-01-22</v>
      </c>
      <c r="B78" s="10" t="str">
        <f ca="1">IFERROR(__xludf.DUMMYFUNCTION("""COMPUTED_VALUE"""),"Facebook")</f>
        <v>Facebook</v>
      </c>
      <c r="C78" s="10" t="str">
        <f ca="1">IFERROR(__xludf.DUMMYFUNCTION("""COMPUTED_VALUE"""),"Traffic_Drive_Jan")</f>
        <v>Traffic_Drive_Jan</v>
      </c>
      <c r="D78" s="2">
        <f ca="1">IFERROR(__xludf.DUMMYFUNCTION("""COMPUTED_VALUE"""),35123)</f>
        <v>35123</v>
      </c>
      <c r="E78" s="2">
        <f ca="1">IFERROR(__xludf.DUMMYFUNCTION("""COMPUTED_VALUE"""),1267)</f>
        <v>1267</v>
      </c>
      <c r="F78" s="2">
        <f ca="1">IFERROR(__xludf.DUMMYFUNCTION("""COMPUTED_VALUE"""),194.5)</f>
        <v>194.5</v>
      </c>
      <c r="G78" s="2">
        <f ca="1">IFERROR(__xludf.DUMMYFUNCTION("""COMPUTED_VALUE"""),26)</f>
        <v>26</v>
      </c>
    </row>
    <row r="79" spans="1:7" ht="22.5" customHeight="1" x14ac:dyDescent="0.2">
      <c r="A79" s="2" t="str">
        <f ca="1">IFERROR(__xludf.DUMMYFUNCTION("""COMPUTED_VALUE"""),"2024-01-22")</f>
        <v>2024-01-22</v>
      </c>
      <c r="B79" s="10" t="str">
        <f ca="1">IFERROR(__xludf.DUMMYFUNCTION("""COMPUTED_VALUE"""),"Facebook")</f>
        <v>Facebook</v>
      </c>
      <c r="C79" s="10" t="str">
        <f ca="1">IFERROR(__xludf.DUMMYFUNCTION("""COMPUTED_VALUE"""),"Video_Views_Campaign")</f>
        <v>Video_Views_Campaign</v>
      </c>
      <c r="D79" s="2">
        <f ca="1">IFERROR(__xludf.DUMMYFUNCTION("""COMPUTED_VALUE"""),66789)</f>
        <v>66789</v>
      </c>
      <c r="E79" s="2">
        <f ca="1">IFERROR(__xludf.DUMMYFUNCTION("""COMPUTED_VALUE"""),245)</f>
        <v>245</v>
      </c>
      <c r="F79" s="2">
        <f ca="1">IFERROR(__xludf.DUMMYFUNCTION("""COMPUTED_VALUE"""),84.7)</f>
        <v>84.7</v>
      </c>
      <c r="G79" s="2">
        <f ca="1">IFERROR(__xludf.DUMMYFUNCTION("""COMPUTED_VALUE"""),5)</f>
        <v>5</v>
      </c>
    </row>
    <row r="80" spans="1:7" ht="22.5" customHeight="1" x14ac:dyDescent="0.2">
      <c r="A80" s="2" t="str">
        <f ca="1">IFERROR(__xludf.DUMMYFUNCTION("""COMPUTED_VALUE"""),"2024-01-23")</f>
        <v>2024-01-23</v>
      </c>
      <c r="B80" s="10" t="str">
        <f ca="1">IFERROR(__xludf.DUMMYFUNCTION("""COMPUTED_VALUE"""),"Facebook")</f>
        <v>Facebook</v>
      </c>
      <c r="C80" s="10" t="str">
        <f ca="1">IFERROR(__xludf.DUMMYFUNCTION("""COMPUTED_VALUE"""),"Brand_Awareness_Q1")</f>
        <v>Brand_Awareness_Q1</v>
      </c>
      <c r="D80" s="2">
        <f ca="1">IFERROR(__xludf.DUMMYFUNCTION("""COMPUTED_VALUE"""),48567)</f>
        <v>48567</v>
      </c>
      <c r="E80" s="2">
        <f ca="1">IFERROR(__xludf.DUMMYFUNCTION("""COMPUTED_VALUE"""),989)</f>
        <v>989</v>
      </c>
      <c r="F80" s="2">
        <f ca="1">IFERROR(__xludf.DUMMYFUNCTION("""COMPUTED_VALUE"""),140.3)</f>
        <v>140.30000000000001</v>
      </c>
      <c r="G80" s="2">
        <f ca="1">IFERROR(__xludf.DUMMYFUNCTION("""COMPUTED_VALUE"""),15)</f>
        <v>15</v>
      </c>
    </row>
    <row r="81" spans="1:7" ht="22.5" customHeight="1" x14ac:dyDescent="0.2">
      <c r="A81" s="2" t="str">
        <f ca="1">IFERROR(__xludf.DUMMYFUNCTION("""COMPUTED_VALUE"""),"2024-01-23")</f>
        <v>2024-01-23</v>
      </c>
      <c r="B81" s="10" t="str">
        <f ca="1">IFERROR(__xludf.DUMMYFUNCTION("""COMPUTED_VALUE"""),"Facebook")</f>
        <v>Facebook</v>
      </c>
      <c r="C81" s="10" t="str">
        <f ca="1">IFERROR(__xludf.DUMMYFUNCTION("""COMPUTED_VALUE"""),"Conversions_Retargeting")</f>
        <v>Conversions_Retargeting</v>
      </c>
      <c r="D81" s="2">
        <f ca="1">IFERROR(__xludf.DUMMYFUNCTION("""COMPUTED_VALUE"""),13789)</f>
        <v>13789</v>
      </c>
      <c r="E81" s="2">
        <f ca="1">IFERROR(__xludf.DUMMYFUNCTION("""COMPUTED_VALUE"""),623)</f>
        <v>623</v>
      </c>
      <c r="F81" s="2">
        <f ca="1">IFERROR(__xludf.DUMMYFUNCTION("""COMPUTED_VALUE"""),229.8)</f>
        <v>229.8</v>
      </c>
      <c r="G81" s="2">
        <f ca="1">IFERROR(__xludf.DUMMYFUNCTION("""COMPUTED_VALUE"""),38)</f>
        <v>38</v>
      </c>
    </row>
    <row r="82" spans="1:7" ht="22.5" customHeight="1" x14ac:dyDescent="0.2">
      <c r="A82" s="2" t="str">
        <f ca="1">IFERROR(__xludf.DUMMYFUNCTION("""COMPUTED_VALUE"""),"2024-01-23")</f>
        <v>2024-01-23</v>
      </c>
      <c r="B82" s="10" t="str">
        <f ca="1">IFERROR(__xludf.DUMMYFUNCTION("""COMPUTED_VALUE"""),"Facebook")</f>
        <v>Facebook</v>
      </c>
      <c r="C82" s="10" t="str">
        <f ca="1">IFERROR(__xludf.DUMMYFUNCTION("""COMPUTED_VALUE"""),"Traffic_Drive_Jan")</f>
        <v>Traffic_Drive_Jan</v>
      </c>
      <c r="D82" s="2">
        <f ca="1">IFERROR(__xludf.DUMMYFUNCTION("""COMPUTED_VALUE"""),37456)</f>
        <v>37456</v>
      </c>
      <c r="E82" s="2">
        <f ca="1">IFERROR(__xludf.DUMMYFUNCTION("""COMPUTED_VALUE"""),1389)</f>
        <v>1389</v>
      </c>
      <c r="F82" s="2">
        <f ca="1">IFERROR(__xludf.DUMMYFUNCTION("""COMPUTED_VALUE"""),213.4)</f>
        <v>213.4</v>
      </c>
      <c r="G82" s="2">
        <f ca="1">IFERROR(__xludf.DUMMYFUNCTION("""COMPUTED_VALUE"""),29)</f>
        <v>29</v>
      </c>
    </row>
    <row r="83" spans="1:7" ht="22.5" customHeight="1" x14ac:dyDescent="0.2">
      <c r="A83" s="2" t="str">
        <f ca="1">IFERROR(__xludf.DUMMYFUNCTION("""COMPUTED_VALUE"""),"2024-01-23")</f>
        <v>2024-01-23</v>
      </c>
      <c r="B83" s="10" t="str">
        <f ca="1">IFERROR(__xludf.DUMMYFUNCTION("""COMPUTED_VALUE"""),"Facebook")</f>
        <v>Facebook</v>
      </c>
      <c r="C83" s="10" t="str">
        <f ca="1">IFERROR(__xludf.DUMMYFUNCTION("""COMPUTED_VALUE"""),"Video_Views_Campaign")</f>
        <v>Video_Views_Campaign</v>
      </c>
      <c r="D83" s="2">
        <f ca="1">IFERROR(__xludf.DUMMYFUNCTION("""COMPUTED_VALUE"""),71234)</f>
        <v>71234</v>
      </c>
      <c r="E83" s="2">
        <f ca="1">IFERROR(__xludf.DUMMYFUNCTION("""COMPUTED_VALUE"""),256)</f>
        <v>256</v>
      </c>
      <c r="F83" s="2">
        <f ca="1">IFERROR(__xludf.DUMMYFUNCTION("""COMPUTED_VALUE"""),90.5)</f>
        <v>90.5</v>
      </c>
      <c r="G83" s="2">
        <f ca="1">IFERROR(__xludf.DUMMYFUNCTION("""COMPUTED_VALUE"""),6)</f>
        <v>6</v>
      </c>
    </row>
    <row r="84" spans="1:7" ht="22.5" customHeight="1" x14ac:dyDescent="0.2">
      <c r="A84" s="2" t="str">
        <f ca="1">IFERROR(__xludf.DUMMYFUNCTION("""COMPUTED_VALUE"""),"2024-01-24")</f>
        <v>2024-01-24</v>
      </c>
      <c r="B84" s="10" t="str">
        <f ca="1">IFERROR(__xludf.DUMMYFUNCTION("""COMPUTED_VALUE"""),"Facebook")</f>
        <v>Facebook</v>
      </c>
      <c r="C84" s="10" t="str">
        <f ca="1">IFERROR(__xludf.DUMMYFUNCTION("""COMPUTED_VALUE"""),"Brand_Awareness_Q1")</f>
        <v>Brand_Awareness_Q1</v>
      </c>
      <c r="D84" s="2">
        <f ca="1">IFERROR(__xludf.DUMMYFUNCTION("""COMPUTED_VALUE"""),51234)</f>
        <v>51234</v>
      </c>
      <c r="E84" s="2">
        <f ca="1">IFERROR(__xludf.DUMMYFUNCTION("""COMPUTED_VALUE"""),1067)</f>
        <v>1067</v>
      </c>
      <c r="F84" s="2">
        <f ca="1">IFERROR(__xludf.DUMMYFUNCTION("""COMPUTED_VALUE"""),149.7)</f>
        <v>149.69999999999999</v>
      </c>
      <c r="G84" s="2">
        <f ca="1">IFERROR(__xludf.DUMMYFUNCTION("""COMPUTED_VALUE"""),17)</f>
        <v>17</v>
      </c>
    </row>
    <row r="85" spans="1:7" ht="22.5" customHeight="1" x14ac:dyDescent="0.2">
      <c r="A85" s="2" t="str">
        <f ca="1">IFERROR(__xludf.DUMMYFUNCTION("""COMPUTED_VALUE"""),"2024-01-24")</f>
        <v>2024-01-24</v>
      </c>
      <c r="B85" s="10" t="str">
        <f ca="1">IFERROR(__xludf.DUMMYFUNCTION("""COMPUTED_VALUE"""),"Facebook")</f>
        <v>Facebook</v>
      </c>
      <c r="C85" s="10" t="str">
        <f ca="1">IFERROR(__xludf.DUMMYFUNCTION("""COMPUTED_VALUE"""),"Conversions_Retargeting")</f>
        <v>Conversions_Retargeting</v>
      </c>
      <c r="D85" s="2">
        <f ca="1">IFERROR(__xludf.DUMMYFUNCTION("""COMPUTED_VALUE"""),14890)</f>
        <v>14890</v>
      </c>
      <c r="E85" s="2">
        <f ca="1">IFERROR(__xludf.DUMMYFUNCTION("""COMPUTED_VALUE"""),712)</f>
        <v>712</v>
      </c>
      <c r="F85" s="2">
        <f ca="1">IFERROR(__xludf.DUMMYFUNCTION("""COMPUTED_VALUE"""),251.6)</f>
        <v>251.6</v>
      </c>
      <c r="G85" s="2">
        <f ca="1">IFERROR(__xludf.DUMMYFUNCTION("""COMPUTED_VALUE"""),43)</f>
        <v>43</v>
      </c>
    </row>
    <row r="86" spans="1:7" ht="22.5" customHeight="1" x14ac:dyDescent="0.2">
      <c r="A86" s="2" t="str">
        <f ca="1">IFERROR(__xludf.DUMMYFUNCTION("""COMPUTED_VALUE"""),"2024-01-24")</f>
        <v>2024-01-24</v>
      </c>
      <c r="B86" s="10" t="str">
        <f ca="1">IFERROR(__xludf.DUMMYFUNCTION("""COMPUTED_VALUE"""),"Facebook")</f>
        <v>Facebook</v>
      </c>
      <c r="C86" s="10" t="str">
        <f ca="1">IFERROR(__xludf.DUMMYFUNCTION("""COMPUTED_VALUE"""),"Traffic_Drive_Jan")</f>
        <v>Traffic_Drive_Jan</v>
      </c>
      <c r="D86" s="2">
        <f ca="1">IFERROR(__xludf.DUMMYFUNCTION("""COMPUTED_VALUE"""),39234)</f>
        <v>39234</v>
      </c>
      <c r="E86" s="2">
        <f ca="1">IFERROR(__xludf.DUMMYFUNCTION("""COMPUTED_VALUE"""),1489)</f>
        <v>1489</v>
      </c>
      <c r="F86" s="2">
        <f ca="1">IFERROR(__xludf.DUMMYFUNCTION("""COMPUTED_VALUE"""),227.9)</f>
        <v>227.9</v>
      </c>
      <c r="G86" s="2">
        <f ca="1">IFERROR(__xludf.DUMMYFUNCTION("""COMPUTED_VALUE"""),32)</f>
        <v>32</v>
      </c>
    </row>
    <row r="87" spans="1:7" ht="22.5" customHeight="1" x14ac:dyDescent="0.2">
      <c r="A87" s="2" t="str">
        <f ca="1">IFERROR(__xludf.DUMMYFUNCTION("""COMPUTED_VALUE"""),"2024-01-24")</f>
        <v>2024-01-24</v>
      </c>
      <c r="B87" s="10" t="str">
        <f ca="1">IFERROR(__xludf.DUMMYFUNCTION("""COMPUTED_VALUE"""),"Facebook")</f>
        <v>Facebook</v>
      </c>
      <c r="C87" s="10" t="str">
        <f ca="1">IFERROR(__xludf.DUMMYFUNCTION("""COMPUTED_VALUE"""),"Video_Views_Campaign")</f>
        <v>Video_Views_Campaign</v>
      </c>
      <c r="D87" s="2">
        <f ca="1">IFERROR(__xludf.DUMMYFUNCTION("""COMPUTED_VALUE"""),74567)</f>
        <v>74567</v>
      </c>
      <c r="E87" s="2">
        <f ca="1">IFERROR(__xludf.DUMMYFUNCTION("""COMPUTED_VALUE"""),267)</f>
        <v>267</v>
      </c>
      <c r="F87" s="2">
        <f ca="1">IFERROR(__xludf.DUMMYFUNCTION("""COMPUTED_VALUE"""),95.8)</f>
        <v>95.8</v>
      </c>
      <c r="G87" s="2">
        <f ca="1">IFERROR(__xludf.DUMMYFUNCTION("""COMPUTED_VALUE"""),7)</f>
        <v>7</v>
      </c>
    </row>
    <row r="88" spans="1:7" ht="22.5" customHeight="1" x14ac:dyDescent="0.2">
      <c r="A88" s="2" t="str">
        <f ca="1">IFERROR(__xludf.DUMMYFUNCTION("""COMPUTED_VALUE"""),"2024-01-25")</f>
        <v>2024-01-25</v>
      </c>
      <c r="B88" s="10" t="str">
        <f ca="1">IFERROR(__xludf.DUMMYFUNCTION("""COMPUTED_VALUE"""),"Facebook")</f>
        <v>Facebook</v>
      </c>
      <c r="C88" s="10" t="str">
        <f ca="1">IFERROR(__xludf.DUMMYFUNCTION("""COMPUTED_VALUE"""),"Brand_Awareness_Q1")</f>
        <v>Brand_Awareness_Q1</v>
      </c>
      <c r="D88" s="2">
        <f ca="1">IFERROR(__xludf.DUMMYFUNCTION("""COMPUTED_VALUE"""),52789)</f>
        <v>52789</v>
      </c>
      <c r="E88" s="2">
        <f ca="1">IFERROR(__xludf.DUMMYFUNCTION("""COMPUTED_VALUE"""),1123)</f>
        <v>1123</v>
      </c>
      <c r="F88" s="2">
        <f ca="1">IFERROR(__xludf.DUMMYFUNCTION("""COMPUTED_VALUE"""),156.4)</f>
        <v>156.4</v>
      </c>
      <c r="G88" s="2">
        <f ca="1">IFERROR(__xludf.DUMMYFUNCTION("""COMPUTED_VALUE"""),18)</f>
        <v>18</v>
      </c>
    </row>
    <row r="89" spans="1:7" ht="22.5" customHeight="1" x14ac:dyDescent="0.2">
      <c r="A89" s="2" t="str">
        <f ca="1">IFERROR(__xludf.DUMMYFUNCTION("""COMPUTED_VALUE"""),"2024-01-25")</f>
        <v>2024-01-25</v>
      </c>
      <c r="B89" s="10" t="str">
        <f ca="1">IFERROR(__xludf.DUMMYFUNCTION("""COMPUTED_VALUE"""),"Facebook")</f>
        <v>Facebook</v>
      </c>
      <c r="C89" s="10" t="str">
        <f ca="1">IFERROR(__xludf.DUMMYFUNCTION("""COMPUTED_VALUE"""),"Conversions_Retargeting")</f>
        <v>Conversions_Retargeting</v>
      </c>
      <c r="D89" s="2">
        <f ca="1">IFERROR(__xludf.DUMMYFUNCTION("""COMPUTED_VALUE"""),15678)</f>
        <v>15678</v>
      </c>
      <c r="E89" s="2">
        <f ca="1">IFERROR(__xludf.DUMMYFUNCTION("""COMPUTED_VALUE"""),756)</f>
        <v>756</v>
      </c>
      <c r="F89" s="2">
        <f ca="1">IFERROR(__xludf.DUMMYFUNCTION("""COMPUTED_VALUE"""),268.9)</f>
        <v>268.89999999999998</v>
      </c>
      <c r="G89" s="2">
        <f ca="1">IFERROR(__xludf.DUMMYFUNCTION("""COMPUTED_VALUE"""),47)</f>
        <v>47</v>
      </c>
    </row>
    <row r="90" spans="1:7" ht="22.5" customHeight="1" x14ac:dyDescent="0.2">
      <c r="A90" s="2" t="str">
        <f ca="1">IFERROR(__xludf.DUMMYFUNCTION("""COMPUTED_VALUE"""),"2024-01-25")</f>
        <v>2024-01-25</v>
      </c>
      <c r="B90" s="10" t="str">
        <f ca="1">IFERROR(__xludf.DUMMYFUNCTION("""COMPUTED_VALUE"""),"Facebook")</f>
        <v>Facebook</v>
      </c>
      <c r="C90" s="10" t="str">
        <f ca="1">IFERROR(__xludf.DUMMYFUNCTION("""COMPUTED_VALUE"""),"Traffic_Drive_Jan")</f>
        <v>Traffic_Drive_Jan</v>
      </c>
      <c r="D90" s="2">
        <f ca="1">IFERROR(__xludf.DUMMYFUNCTION("""COMPUTED_VALUE"""),40567)</f>
        <v>40567</v>
      </c>
      <c r="E90" s="2">
        <f ca="1">IFERROR(__xludf.DUMMYFUNCTION("""COMPUTED_VALUE"""),1567)</f>
        <v>1567</v>
      </c>
      <c r="F90" s="2">
        <f ca="1">IFERROR(__xludf.DUMMYFUNCTION("""COMPUTED_VALUE"""),238.6)</f>
        <v>238.6</v>
      </c>
      <c r="G90" s="2">
        <f ca="1">IFERROR(__xludf.DUMMYFUNCTION("""COMPUTED_VALUE"""),34)</f>
        <v>34</v>
      </c>
    </row>
    <row r="91" spans="1:7" ht="22.5" customHeight="1" x14ac:dyDescent="0.2">
      <c r="A91" s="2" t="str">
        <f ca="1">IFERROR(__xludf.DUMMYFUNCTION("""COMPUTED_VALUE"""),"2024-01-25")</f>
        <v>2024-01-25</v>
      </c>
      <c r="B91" s="10" t="str">
        <f ca="1">IFERROR(__xludf.DUMMYFUNCTION("""COMPUTED_VALUE"""),"Facebook")</f>
        <v>Facebook</v>
      </c>
      <c r="C91" s="10" t="str">
        <f ca="1">IFERROR(__xludf.DUMMYFUNCTION("""COMPUTED_VALUE"""),"Video_Views_Campaign")</f>
        <v>Video_Views_Campaign</v>
      </c>
      <c r="D91" s="2">
        <f ca="1">IFERROR(__xludf.DUMMYFUNCTION("""COMPUTED_VALUE"""),76890)</f>
        <v>76890</v>
      </c>
      <c r="E91" s="2">
        <f ca="1">IFERROR(__xludf.DUMMYFUNCTION("""COMPUTED_VALUE"""),278)</f>
        <v>278</v>
      </c>
      <c r="F91" s="2">
        <f ca="1">IFERROR(__xludf.DUMMYFUNCTION("""COMPUTED_VALUE"""),99.2)</f>
        <v>99.2</v>
      </c>
      <c r="G91" s="2">
        <f ca="1">IFERROR(__xludf.DUMMYFUNCTION("""COMPUTED_VALUE"""),8)</f>
        <v>8</v>
      </c>
    </row>
    <row r="92" spans="1:7" ht="22.5" customHeight="1" x14ac:dyDescent="0.2">
      <c r="A92" s="2" t="str">
        <f ca="1">IFERROR(__xludf.DUMMYFUNCTION("""COMPUTED_VALUE"""),"2024-01-26")</f>
        <v>2024-01-26</v>
      </c>
      <c r="B92" s="10" t="str">
        <f ca="1">IFERROR(__xludf.DUMMYFUNCTION("""COMPUTED_VALUE"""),"Facebook")</f>
        <v>Facebook</v>
      </c>
      <c r="C92" s="10" t="str">
        <f ca="1">IFERROR(__xludf.DUMMYFUNCTION("""COMPUTED_VALUE"""),"Brand_Awareness_Q1")</f>
        <v>Brand_Awareness_Q1</v>
      </c>
      <c r="D92" s="2">
        <f ca="1">IFERROR(__xludf.DUMMYFUNCTION("""COMPUTED_VALUE"""),50123)</f>
        <v>50123</v>
      </c>
      <c r="E92" s="2">
        <f ca="1">IFERROR(__xludf.DUMMYFUNCTION("""COMPUTED_VALUE"""),1034)</f>
        <v>1034</v>
      </c>
      <c r="F92" s="2">
        <f ca="1">IFERROR(__xludf.DUMMYFUNCTION("""COMPUTED_VALUE"""),147.5)</f>
        <v>147.5</v>
      </c>
      <c r="G92" s="2">
        <f ca="1">IFERROR(__xludf.DUMMYFUNCTION("""COMPUTED_VALUE"""),17)</f>
        <v>17</v>
      </c>
    </row>
    <row r="93" spans="1:7" ht="22.5" customHeight="1" x14ac:dyDescent="0.2">
      <c r="A93" s="2" t="str">
        <f ca="1">IFERROR(__xludf.DUMMYFUNCTION("""COMPUTED_VALUE"""),"2024-01-26")</f>
        <v>2024-01-26</v>
      </c>
      <c r="B93" s="10" t="str">
        <f ca="1">IFERROR(__xludf.DUMMYFUNCTION("""COMPUTED_VALUE"""),"Facebook")</f>
        <v>Facebook</v>
      </c>
      <c r="C93" s="10" t="str">
        <f ca="1">IFERROR(__xludf.DUMMYFUNCTION("""COMPUTED_VALUE"""),"Conversions_Retargeting")</f>
        <v>Conversions_Retargeting</v>
      </c>
      <c r="D93" s="2">
        <f ca="1">IFERROR(__xludf.DUMMYFUNCTION("""COMPUTED_VALUE"""),14234)</f>
        <v>14234</v>
      </c>
      <c r="E93" s="2">
        <f ca="1">IFERROR(__xludf.DUMMYFUNCTION("""COMPUTED_VALUE"""),689)</f>
        <v>689</v>
      </c>
      <c r="F93" s="2">
        <f ca="1">IFERROR(__xludf.DUMMYFUNCTION("""COMPUTED_VALUE"""),254.7)</f>
        <v>254.7</v>
      </c>
      <c r="G93" s="2">
        <f ca="1">IFERROR(__xludf.DUMMYFUNCTION("""COMPUTED_VALUE"""),44)</f>
        <v>44</v>
      </c>
    </row>
    <row r="94" spans="1:7" ht="22.5" customHeight="1" x14ac:dyDescent="0.2">
      <c r="A94" s="2" t="str">
        <f ca="1">IFERROR(__xludf.DUMMYFUNCTION("""COMPUTED_VALUE"""),"2024-01-26")</f>
        <v>2024-01-26</v>
      </c>
      <c r="B94" s="10" t="str">
        <f ca="1">IFERROR(__xludf.DUMMYFUNCTION("""COMPUTED_VALUE"""),"Facebook")</f>
        <v>Facebook</v>
      </c>
      <c r="C94" s="10" t="str">
        <f ca="1">IFERROR(__xludf.DUMMYFUNCTION("""COMPUTED_VALUE"""),"Traffic_Drive_Jan")</f>
        <v>Traffic_Drive_Jan</v>
      </c>
      <c r="D94" s="2">
        <f ca="1">IFERROR(__xludf.DUMMYFUNCTION("""COMPUTED_VALUE"""),38890)</f>
        <v>38890</v>
      </c>
      <c r="E94" s="2">
        <f ca="1">IFERROR(__xludf.DUMMYFUNCTION("""COMPUTED_VALUE"""),1445)</f>
        <v>1445</v>
      </c>
      <c r="F94" s="2">
        <f ca="1">IFERROR(__xludf.DUMMYFUNCTION("""COMPUTED_VALUE"""),231.2)</f>
        <v>231.2</v>
      </c>
      <c r="G94" s="2">
        <f ca="1">IFERROR(__xludf.DUMMYFUNCTION("""COMPUTED_VALUE"""),32)</f>
        <v>32</v>
      </c>
    </row>
    <row r="95" spans="1:7" ht="22.5" customHeight="1" x14ac:dyDescent="0.2">
      <c r="A95" s="2" t="str">
        <f ca="1">IFERROR(__xludf.DUMMYFUNCTION("""COMPUTED_VALUE"""),"2024-01-26")</f>
        <v>2024-01-26</v>
      </c>
      <c r="B95" s="10" t="str">
        <f ca="1">IFERROR(__xludf.DUMMYFUNCTION("""COMPUTED_VALUE"""),"Facebook")</f>
        <v>Facebook</v>
      </c>
      <c r="C95" s="10" t="str">
        <f ca="1">IFERROR(__xludf.DUMMYFUNCTION("""COMPUTED_VALUE"""),"Video_Views_Campaign")</f>
        <v>Video_Views_Campaign</v>
      </c>
      <c r="D95" s="2">
        <f ca="1">IFERROR(__xludf.DUMMYFUNCTION("""COMPUTED_VALUE"""),73456)</f>
        <v>73456</v>
      </c>
      <c r="E95" s="2">
        <f ca="1">IFERROR(__xludf.DUMMYFUNCTION("""COMPUTED_VALUE"""),261)</f>
        <v>261</v>
      </c>
      <c r="F95" s="2">
        <f ca="1">IFERROR(__xludf.DUMMYFUNCTION("""COMPUTED_VALUE"""),94.6)</f>
        <v>94.6</v>
      </c>
      <c r="G95" s="2">
        <f ca="1">IFERROR(__xludf.DUMMYFUNCTION("""COMPUTED_VALUE"""),7)</f>
        <v>7</v>
      </c>
    </row>
    <row r="96" spans="1:7" ht="22.5" customHeight="1" x14ac:dyDescent="0.2">
      <c r="A96" s="2" t="str">
        <f ca="1">IFERROR(__xludf.DUMMYFUNCTION("""COMPUTED_VALUE"""),"2024-01-27")</f>
        <v>2024-01-27</v>
      </c>
      <c r="B96" s="10" t="str">
        <f ca="1">IFERROR(__xludf.DUMMYFUNCTION("""COMPUTED_VALUE"""),"Facebook")</f>
        <v>Facebook</v>
      </c>
      <c r="C96" s="10" t="str">
        <f ca="1">IFERROR(__xludf.DUMMYFUNCTION("""COMPUTED_VALUE"""),"Brand_Awareness_Q1")</f>
        <v>Brand_Awareness_Q1</v>
      </c>
      <c r="D96" s="2">
        <f ca="1">IFERROR(__xludf.DUMMYFUNCTION("""COMPUTED_VALUE"""),46234)</f>
        <v>46234</v>
      </c>
      <c r="E96" s="2">
        <f ca="1">IFERROR(__xludf.DUMMYFUNCTION("""COMPUTED_VALUE"""),934)</f>
        <v>934</v>
      </c>
      <c r="F96" s="2">
        <f ca="1">IFERROR(__xludf.DUMMYFUNCTION("""COMPUTED_VALUE"""),133.8)</f>
        <v>133.80000000000001</v>
      </c>
      <c r="G96" s="2">
        <f ca="1">IFERROR(__xludf.DUMMYFUNCTION("""COMPUTED_VALUE"""),15)</f>
        <v>15</v>
      </c>
    </row>
    <row r="97" spans="1:7" ht="22.5" customHeight="1" x14ac:dyDescent="0.2">
      <c r="A97" s="2" t="str">
        <f ca="1">IFERROR(__xludf.DUMMYFUNCTION("""COMPUTED_VALUE"""),"2024-01-27")</f>
        <v>2024-01-27</v>
      </c>
      <c r="B97" s="10" t="str">
        <f ca="1">IFERROR(__xludf.DUMMYFUNCTION("""COMPUTED_VALUE"""),"Facebook")</f>
        <v>Facebook</v>
      </c>
      <c r="C97" s="10" t="str">
        <f ca="1">IFERROR(__xludf.DUMMYFUNCTION("""COMPUTED_VALUE"""),"Conversions_Retargeting")</f>
        <v>Conversions_Retargeting</v>
      </c>
      <c r="D97" s="2">
        <f ca="1">IFERROR(__xludf.DUMMYFUNCTION("""COMPUTED_VALUE"""),12567)</f>
        <v>12567</v>
      </c>
      <c r="E97" s="2">
        <f ca="1">IFERROR(__xludf.DUMMYFUNCTION("""COMPUTED_VALUE"""),567)</f>
        <v>567</v>
      </c>
      <c r="F97" s="2">
        <f ca="1">IFERROR(__xludf.DUMMYFUNCTION("""COMPUTED_VALUE"""),209.4)</f>
        <v>209.4</v>
      </c>
      <c r="G97" s="2">
        <f ca="1">IFERROR(__xludf.DUMMYFUNCTION("""COMPUTED_VALUE"""),36)</f>
        <v>36</v>
      </c>
    </row>
    <row r="98" spans="1:7" ht="22.5" customHeight="1" x14ac:dyDescent="0.2">
      <c r="A98" s="2" t="str">
        <f ca="1">IFERROR(__xludf.DUMMYFUNCTION("""COMPUTED_VALUE"""),"2024-01-27")</f>
        <v>2024-01-27</v>
      </c>
      <c r="B98" s="10" t="str">
        <f ca="1">IFERROR(__xludf.DUMMYFUNCTION("""COMPUTED_VALUE"""),"Facebook")</f>
        <v>Facebook</v>
      </c>
      <c r="C98" s="10" t="str">
        <f ca="1">IFERROR(__xludf.DUMMYFUNCTION("""COMPUTED_VALUE"""),"Traffic_Drive_Jan")</f>
        <v>Traffic_Drive_Jan</v>
      </c>
      <c r="D98" s="2">
        <f ca="1">IFERROR(__xludf.DUMMYFUNCTION("""COMPUTED_VALUE"""),35890)</f>
        <v>35890</v>
      </c>
      <c r="E98" s="2">
        <f ca="1">IFERROR(__xludf.DUMMYFUNCTION("""COMPUTED_VALUE"""),1289)</f>
        <v>1289</v>
      </c>
      <c r="F98" s="2">
        <f ca="1">IFERROR(__xludf.DUMMYFUNCTION("""COMPUTED_VALUE"""),197.8)</f>
        <v>197.8</v>
      </c>
      <c r="G98" s="2">
        <f ca="1">IFERROR(__xludf.DUMMYFUNCTION("""COMPUTED_VALUE"""),27)</f>
        <v>27</v>
      </c>
    </row>
    <row r="99" spans="1:7" ht="22.5" customHeight="1" x14ac:dyDescent="0.2">
      <c r="A99" s="2" t="str">
        <f ca="1">IFERROR(__xludf.DUMMYFUNCTION("""COMPUTED_VALUE"""),"2024-01-27")</f>
        <v>2024-01-27</v>
      </c>
      <c r="B99" s="10" t="str">
        <f ca="1">IFERROR(__xludf.DUMMYFUNCTION("""COMPUTED_VALUE"""),"Facebook")</f>
        <v>Facebook</v>
      </c>
      <c r="C99" s="10" t="str">
        <f ca="1">IFERROR(__xludf.DUMMYFUNCTION("""COMPUTED_VALUE"""),"Video_Views_Campaign")</f>
        <v>Video_Views_Campaign</v>
      </c>
      <c r="D99" s="2">
        <f ca="1">IFERROR(__xludf.DUMMYFUNCTION("""COMPUTED_VALUE"""),68234)</f>
        <v>68234</v>
      </c>
      <c r="E99" s="2">
        <f ca="1">IFERROR(__xludf.DUMMYFUNCTION("""COMPUTED_VALUE"""),245)</f>
        <v>245</v>
      </c>
      <c r="F99" s="2">
        <f ca="1">IFERROR(__xludf.DUMMYFUNCTION("""COMPUTED_VALUE"""),85.9)</f>
        <v>85.9</v>
      </c>
      <c r="G99" s="2">
        <f ca="1">IFERROR(__xludf.DUMMYFUNCTION("""COMPUTED_VALUE"""),5)</f>
        <v>5</v>
      </c>
    </row>
    <row r="100" spans="1:7" ht="22.5" customHeight="1" x14ac:dyDescent="0.2">
      <c r="A100" s="2" t="str">
        <f ca="1">IFERROR(__xludf.DUMMYFUNCTION("""COMPUTED_VALUE"""),"2024-01-28")</f>
        <v>2024-01-28</v>
      </c>
      <c r="B100" s="10" t="str">
        <f ca="1">IFERROR(__xludf.DUMMYFUNCTION("""COMPUTED_VALUE"""),"Facebook")</f>
        <v>Facebook</v>
      </c>
      <c r="C100" s="10" t="str">
        <f ca="1">IFERROR(__xludf.DUMMYFUNCTION("""COMPUTED_VALUE"""),"Brand_Awareness_Q1")</f>
        <v>Brand_Awareness_Q1</v>
      </c>
      <c r="D100" s="2">
        <f ca="1">IFERROR(__xludf.DUMMYFUNCTION("""COMPUTED_VALUE"""),44567)</f>
        <v>44567</v>
      </c>
      <c r="E100" s="2">
        <f ca="1">IFERROR(__xludf.DUMMYFUNCTION("""COMPUTED_VALUE"""),890)</f>
        <v>890</v>
      </c>
      <c r="F100" s="2">
        <f ca="1">IFERROR(__xludf.DUMMYFUNCTION("""COMPUTED_VALUE"""),127.6)</f>
        <v>127.6</v>
      </c>
      <c r="G100" s="2">
        <f ca="1">IFERROR(__xludf.DUMMYFUNCTION("""COMPUTED_VALUE"""),13)</f>
        <v>13</v>
      </c>
    </row>
    <row r="101" spans="1:7" ht="22.5" customHeight="1" x14ac:dyDescent="0.2">
      <c r="A101" s="2" t="str">
        <f ca="1">IFERROR(__xludf.DUMMYFUNCTION("""COMPUTED_VALUE"""),"2024-01-28")</f>
        <v>2024-01-28</v>
      </c>
      <c r="B101" s="10" t="str">
        <f ca="1">IFERROR(__xludf.DUMMYFUNCTION("""COMPUTED_VALUE"""),"Facebook")</f>
        <v>Facebook</v>
      </c>
      <c r="C101" s="10" t="str">
        <f ca="1">IFERROR(__xludf.DUMMYFUNCTION("""COMPUTED_VALUE"""),"Conversions_Retargeting")</f>
        <v>Conversions_Retargeting</v>
      </c>
      <c r="D101" s="2">
        <f ca="1">IFERROR(__xludf.DUMMYFUNCTION("""COMPUTED_VALUE"""),11456)</f>
        <v>11456</v>
      </c>
      <c r="E101" s="2">
        <f ca="1">IFERROR(__xludf.DUMMYFUNCTION("""COMPUTED_VALUE"""),523)</f>
        <v>523</v>
      </c>
      <c r="F101" s="2">
        <f ca="1">IFERROR(__xludf.DUMMYFUNCTION("""COMPUTED_VALUE"""),192.3)</f>
        <v>192.3</v>
      </c>
      <c r="G101" s="2">
        <f ca="1">IFERROR(__xludf.DUMMYFUNCTION("""COMPUTED_VALUE"""),33)</f>
        <v>33</v>
      </c>
    </row>
    <row r="102" spans="1:7" ht="22.5" customHeight="1" x14ac:dyDescent="0.2">
      <c r="A102" s="2" t="str">
        <f ca="1">IFERROR(__xludf.DUMMYFUNCTION("""COMPUTED_VALUE"""),"2024-01-28")</f>
        <v>2024-01-28</v>
      </c>
      <c r="B102" s="10" t="str">
        <f ca="1">IFERROR(__xludf.DUMMYFUNCTION("""COMPUTED_VALUE"""),"Facebook")</f>
        <v>Facebook</v>
      </c>
      <c r="C102" s="10" t="str">
        <f ca="1">IFERROR(__xludf.DUMMYFUNCTION("""COMPUTED_VALUE"""),"Traffic_Drive_Jan")</f>
        <v>Traffic_Drive_Jan</v>
      </c>
      <c r="D102" s="2">
        <f ca="1">IFERROR(__xludf.DUMMYFUNCTION("""COMPUTED_VALUE"""),33567)</f>
        <v>33567</v>
      </c>
      <c r="E102" s="2">
        <f ca="1">IFERROR(__xludf.DUMMYFUNCTION("""COMPUTED_VALUE"""),1203)</f>
        <v>1203</v>
      </c>
      <c r="F102" s="2">
        <f ca="1">IFERROR(__xludf.DUMMYFUNCTION("""COMPUTED_VALUE"""),184.5)</f>
        <v>184.5</v>
      </c>
      <c r="G102" s="2">
        <f ca="1">IFERROR(__xludf.DUMMYFUNCTION("""COMPUTED_VALUE"""),25)</f>
        <v>25</v>
      </c>
    </row>
    <row r="103" spans="1:7" ht="22.5" customHeight="1" x14ac:dyDescent="0.2">
      <c r="A103" s="2" t="str">
        <f ca="1">IFERROR(__xludf.DUMMYFUNCTION("""COMPUTED_VALUE"""),"2024-01-28")</f>
        <v>2024-01-28</v>
      </c>
      <c r="B103" s="10" t="str">
        <f ca="1">IFERROR(__xludf.DUMMYFUNCTION("""COMPUTED_VALUE"""),"Facebook")</f>
        <v>Facebook</v>
      </c>
      <c r="C103" s="10" t="str">
        <f ca="1">IFERROR(__xludf.DUMMYFUNCTION("""COMPUTED_VALUE"""),"Video_Views_Campaign")</f>
        <v>Video_Views_Campaign</v>
      </c>
      <c r="D103" s="2">
        <f ca="1">IFERROR(__xludf.DUMMYFUNCTION("""COMPUTED_VALUE"""),65789)</f>
        <v>65789</v>
      </c>
      <c r="E103" s="2">
        <f ca="1">IFERROR(__xludf.DUMMYFUNCTION("""COMPUTED_VALUE"""),234)</f>
        <v>234</v>
      </c>
      <c r="F103" s="2">
        <f ca="1">IFERROR(__xludf.DUMMYFUNCTION("""COMPUTED_VALUE"""),80.4)</f>
        <v>80.400000000000006</v>
      </c>
      <c r="G103" s="2">
        <f ca="1">IFERROR(__xludf.DUMMYFUNCTION("""COMPUTED_VALUE"""),4)</f>
        <v>4</v>
      </c>
    </row>
    <row r="104" spans="1:7" ht="22.5" customHeight="1" x14ac:dyDescent="0.2">
      <c r="A104" s="2" t="str">
        <f ca="1">IFERROR(__xludf.DUMMYFUNCTION("""COMPUTED_VALUE"""),"2024-01-29")</f>
        <v>2024-01-29</v>
      </c>
      <c r="B104" s="10" t="str">
        <f ca="1">IFERROR(__xludf.DUMMYFUNCTION("""COMPUTED_VALUE"""),"Facebook")</f>
        <v>Facebook</v>
      </c>
      <c r="C104" s="10" t="str">
        <f ca="1">IFERROR(__xludf.DUMMYFUNCTION("""COMPUTED_VALUE"""),"Brand_Awareness_Q1")</f>
        <v>Brand_Awareness_Q1</v>
      </c>
      <c r="D104" s="2">
        <f ca="1">IFERROR(__xludf.DUMMYFUNCTION("""COMPUTED_VALUE"""),47890)</f>
        <v>47890</v>
      </c>
      <c r="E104" s="2">
        <f ca="1">IFERROR(__xludf.DUMMYFUNCTION("""COMPUTED_VALUE"""),967)</f>
        <v>967</v>
      </c>
      <c r="F104" s="2">
        <f ca="1">IFERROR(__xludf.DUMMYFUNCTION("""COMPUTED_VALUE"""),138.4)</f>
        <v>138.4</v>
      </c>
      <c r="G104" s="2">
        <f ca="1">IFERROR(__xludf.DUMMYFUNCTION("""COMPUTED_VALUE"""),15)</f>
        <v>15</v>
      </c>
    </row>
    <row r="105" spans="1:7" ht="22.5" customHeight="1" x14ac:dyDescent="0.2">
      <c r="A105" s="2" t="str">
        <f ca="1">IFERROR(__xludf.DUMMYFUNCTION("""COMPUTED_VALUE"""),"2024-01-29")</f>
        <v>2024-01-29</v>
      </c>
      <c r="B105" s="10" t="str">
        <f ca="1">IFERROR(__xludf.DUMMYFUNCTION("""COMPUTED_VALUE"""),"Facebook")</f>
        <v>Facebook</v>
      </c>
      <c r="C105" s="10" t="str">
        <f ca="1">IFERROR(__xludf.DUMMYFUNCTION("""COMPUTED_VALUE"""),"Conversions_Retargeting")</f>
        <v>Conversions_Retargeting</v>
      </c>
      <c r="D105" s="2">
        <f ca="1">IFERROR(__xludf.DUMMYFUNCTION("""COMPUTED_VALUE"""),13234)</f>
        <v>13234</v>
      </c>
      <c r="E105" s="2">
        <f ca="1">IFERROR(__xludf.DUMMYFUNCTION("""COMPUTED_VALUE"""),612)</f>
        <v>612</v>
      </c>
      <c r="F105" s="2">
        <f ca="1">IFERROR(__xludf.DUMMYFUNCTION("""COMPUTED_VALUE"""),226.5)</f>
        <v>226.5</v>
      </c>
      <c r="G105" s="2">
        <f ca="1">IFERROR(__xludf.DUMMYFUNCTION("""COMPUTED_VALUE"""),39)</f>
        <v>39</v>
      </c>
    </row>
    <row r="106" spans="1:7" ht="22.5" customHeight="1" x14ac:dyDescent="0.2">
      <c r="A106" s="2" t="str">
        <f ca="1">IFERROR(__xludf.DUMMYFUNCTION("""COMPUTED_VALUE"""),"2024-01-29")</f>
        <v>2024-01-29</v>
      </c>
      <c r="B106" s="10" t="str">
        <f ca="1">IFERROR(__xludf.DUMMYFUNCTION("""COMPUTED_VALUE"""),"Facebook")</f>
        <v>Facebook</v>
      </c>
      <c r="C106" s="10" t="str">
        <f ca="1">IFERROR(__xludf.DUMMYFUNCTION("""COMPUTED_VALUE"""),"Traffic_Drive_Jan")</f>
        <v>Traffic_Drive_Jan</v>
      </c>
      <c r="D106" s="2">
        <f ca="1">IFERROR(__xludf.DUMMYFUNCTION("""COMPUTED_VALUE"""),36234)</f>
        <v>36234</v>
      </c>
      <c r="E106" s="2">
        <f ca="1">IFERROR(__xludf.DUMMYFUNCTION("""COMPUTED_VALUE"""),1334)</f>
        <v>1334</v>
      </c>
      <c r="F106" s="2">
        <f ca="1">IFERROR(__xludf.DUMMYFUNCTION("""COMPUTED_VALUE"""),203.7)</f>
        <v>203.7</v>
      </c>
      <c r="G106" s="2">
        <f ca="1">IFERROR(__xludf.DUMMYFUNCTION("""COMPUTED_VALUE"""),28)</f>
        <v>28</v>
      </c>
    </row>
    <row r="107" spans="1:7" ht="22.5" customHeight="1" x14ac:dyDescent="0.2">
      <c r="A107" s="2" t="str">
        <f ca="1">IFERROR(__xludf.DUMMYFUNCTION("""COMPUTED_VALUE"""),"2024-01-29")</f>
        <v>2024-01-29</v>
      </c>
      <c r="B107" s="10" t="str">
        <f ca="1">IFERROR(__xludf.DUMMYFUNCTION("""COMPUTED_VALUE"""),"Facebook")</f>
        <v>Facebook</v>
      </c>
      <c r="C107" s="10" t="str">
        <f ca="1">IFERROR(__xludf.DUMMYFUNCTION("""COMPUTED_VALUE"""),"Video_Views_Campaign")</f>
        <v>Video_Views_Campaign</v>
      </c>
      <c r="D107" s="2">
        <f ca="1">IFERROR(__xludf.DUMMYFUNCTION("""COMPUTED_VALUE"""),69567)</f>
        <v>69567</v>
      </c>
      <c r="E107" s="2">
        <f ca="1">IFERROR(__xludf.DUMMYFUNCTION("""COMPUTED_VALUE"""),253)</f>
        <v>253</v>
      </c>
      <c r="F107" s="2">
        <f ca="1">IFERROR(__xludf.DUMMYFUNCTION("""COMPUTED_VALUE"""),88.7)</f>
        <v>88.7</v>
      </c>
      <c r="G107" s="2">
        <f ca="1">IFERROR(__xludf.DUMMYFUNCTION("""COMPUTED_VALUE"""),6)</f>
        <v>6</v>
      </c>
    </row>
    <row r="108" spans="1:7" ht="22.5" customHeight="1" x14ac:dyDescent="0.2">
      <c r="A108" s="2" t="str">
        <f ca="1">IFERROR(__xludf.DUMMYFUNCTION("""COMPUTED_VALUE"""),"2024-01-30")</f>
        <v>2024-01-30</v>
      </c>
      <c r="B108" s="10" t="str">
        <f ca="1">IFERROR(__xludf.DUMMYFUNCTION("""COMPUTED_VALUE"""),"Facebook")</f>
        <v>Facebook</v>
      </c>
      <c r="C108" s="10" t="str">
        <f ca="1">IFERROR(__xludf.DUMMYFUNCTION("""COMPUTED_VALUE"""),"Brand_Awareness_Q1")</f>
        <v>Brand_Awareness_Q1</v>
      </c>
      <c r="D108" s="2">
        <f ca="1">IFERROR(__xludf.DUMMYFUNCTION("""COMPUTED_VALUE"""),49234)</f>
        <v>49234</v>
      </c>
      <c r="E108" s="2">
        <f ca="1">IFERROR(__xludf.DUMMYFUNCTION("""COMPUTED_VALUE"""),1001)</f>
        <v>1001</v>
      </c>
      <c r="F108" s="2">
        <f ca="1">IFERROR(__xludf.DUMMYFUNCTION("""COMPUTED_VALUE"""),142.8)</f>
        <v>142.80000000000001</v>
      </c>
      <c r="G108" s="2">
        <f ca="1">IFERROR(__xludf.DUMMYFUNCTION("""COMPUTED_VALUE"""),16)</f>
        <v>16</v>
      </c>
    </row>
    <row r="109" spans="1:7" ht="22.5" customHeight="1" x14ac:dyDescent="0.2">
      <c r="A109" s="2" t="str">
        <f ca="1">IFERROR(__xludf.DUMMYFUNCTION("""COMPUTED_VALUE"""),"2024-01-30")</f>
        <v>2024-01-30</v>
      </c>
      <c r="B109" s="10" t="str">
        <f ca="1">IFERROR(__xludf.DUMMYFUNCTION("""COMPUTED_VALUE"""),"Facebook")</f>
        <v>Facebook</v>
      </c>
      <c r="C109" s="10" t="str">
        <f ca="1">IFERROR(__xludf.DUMMYFUNCTION("""COMPUTED_VALUE"""),"Conversions_Retargeting")</f>
        <v>Conversions_Retargeting</v>
      </c>
      <c r="D109" s="2">
        <f ca="1">IFERROR(__xludf.DUMMYFUNCTION("""COMPUTED_VALUE"""),14123)</f>
        <v>14123</v>
      </c>
      <c r="E109" s="2">
        <f ca="1">IFERROR(__xludf.DUMMYFUNCTION("""COMPUTED_VALUE"""),645)</f>
        <v>645</v>
      </c>
      <c r="F109" s="2">
        <f ca="1">IFERROR(__xludf.DUMMYFUNCTION("""COMPUTED_VALUE"""),236.9)</f>
        <v>236.9</v>
      </c>
      <c r="G109" s="2">
        <f ca="1">IFERROR(__xludf.DUMMYFUNCTION("""COMPUTED_VALUE"""),41)</f>
        <v>41</v>
      </c>
    </row>
    <row r="110" spans="1:7" ht="22.5" customHeight="1" x14ac:dyDescent="0.2">
      <c r="A110" s="2" t="str">
        <f ca="1">IFERROR(__xludf.DUMMYFUNCTION("""COMPUTED_VALUE"""),"2024-01-30")</f>
        <v>2024-01-30</v>
      </c>
      <c r="B110" s="10" t="str">
        <f ca="1">IFERROR(__xludf.DUMMYFUNCTION("""COMPUTED_VALUE"""),"Facebook")</f>
        <v>Facebook</v>
      </c>
      <c r="C110" s="10" t="str">
        <f ca="1">IFERROR(__xludf.DUMMYFUNCTION("""COMPUTED_VALUE"""),"Traffic_Drive_Jan")</f>
        <v>Traffic_Drive_Jan</v>
      </c>
      <c r="D110" s="2">
        <f ca="1">IFERROR(__xludf.DUMMYFUNCTION("""COMPUTED_VALUE"""),37890)</f>
        <v>37890</v>
      </c>
      <c r="E110" s="2">
        <f ca="1">IFERROR(__xludf.DUMMYFUNCTION("""COMPUTED_VALUE"""),1412)</f>
        <v>1412</v>
      </c>
      <c r="F110" s="2">
        <f ca="1">IFERROR(__xludf.DUMMYFUNCTION("""COMPUTED_VALUE"""),216.5)</f>
        <v>216.5</v>
      </c>
      <c r="G110" s="2">
        <f ca="1">IFERROR(__xludf.DUMMYFUNCTION("""COMPUTED_VALUE"""),30)</f>
        <v>30</v>
      </c>
    </row>
    <row r="111" spans="1:7" ht="22.5" customHeight="1" x14ac:dyDescent="0.2">
      <c r="A111" s="2" t="str">
        <f ca="1">IFERROR(__xludf.DUMMYFUNCTION("""COMPUTED_VALUE"""),"2024-01-30")</f>
        <v>2024-01-30</v>
      </c>
      <c r="B111" s="10" t="str">
        <f ca="1">IFERROR(__xludf.DUMMYFUNCTION("""COMPUTED_VALUE"""),"Facebook")</f>
        <v>Facebook</v>
      </c>
      <c r="C111" s="10" t="str">
        <f ca="1">IFERROR(__xludf.DUMMYFUNCTION("""COMPUTED_VALUE"""),"Video_Views_Campaign")</f>
        <v>Video_Views_Campaign</v>
      </c>
      <c r="D111" s="2">
        <f ca="1">IFERROR(__xludf.DUMMYFUNCTION("""COMPUTED_VALUE"""),72123)</f>
        <v>72123</v>
      </c>
      <c r="E111" s="2">
        <f ca="1">IFERROR(__xludf.DUMMYFUNCTION("""COMPUTED_VALUE"""),261)</f>
        <v>261</v>
      </c>
      <c r="F111" s="2">
        <f ca="1">IFERROR(__xludf.DUMMYFUNCTION("""COMPUTED_VALUE"""),91.3)</f>
        <v>91.3</v>
      </c>
      <c r="G111" s="2">
        <f ca="1">IFERROR(__xludf.DUMMYFUNCTION("""COMPUTED_VALUE"""),7)</f>
        <v>7</v>
      </c>
    </row>
    <row r="112" spans="1:7" ht="22.5" customHeight="1" x14ac:dyDescent="0.2">
      <c r="A112" s="2" t="str">
        <f ca="1">IFERROR(__xludf.DUMMYFUNCTION("""COMPUTED_VALUE"""),"2024-01-01")</f>
        <v>2024-01-01</v>
      </c>
      <c r="B112" s="10" t="str">
        <f ca="1">IFERROR(__xludf.DUMMYFUNCTION("""COMPUTED_VALUE"""),"Google")</f>
        <v>Google</v>
      </c>
      <c r="C112" s="10" t="str">
        <f ca="1">IFERROR(__xludf.DUMMYFUNCTION("""COMPUTED_VALUE"""),"Search_Brand_Terms")</f>
        <v>Search_Brand_Terms</v>
      </c>
      <c r="D112" s="2">
        <f ca="1">IFERROR(__xludf.DUMMYFUNCTION("""COMPUTED_VALUE"""),23456)</f>
        <v>23456</v>
      </c>
      <c r="E112" s="2">
        <f ca="1">IFERROR(__xludf.DUMMYFUNCTION("""COMPUTED_VALUE"""),1234)</f>
        <v>1234</v>
      </c>
      <c r="F112" s="2">
        <f ca="1">IFERROR(__xludf.DUMMYFUNCTION("""COMPUTED_VALUE"""),234.5)</f>
        <v>234.5</v>
      </c>
      <c r="G112" s="2">
        <f ca="1">IFERROR(__xludf.DUMMYFUNCTION("""COMPUTED_VALUE"""),45)</f>
        <v>45</v>
      </c>
    </row>
    <row r="113" spans="1:7" ht="22.5" customHeight="1" x14ac:dyDescent="0.2">
      <c r="A113" s="2" t="str">
        <f ca="1">IFERROR(__xludf.DUMMYFUNCTION("""COMPUTED_VALUE"""),"2024-01-01")</f>
        <v>2024-01-01</v>
      </c>
      <c r="B113" s="10" t="str">
        <f ca="1">IFERROR(__xludf.DUMMYFUNCTION("""COMPUTED_VALUE"""),"Google")</f>
        <v>Google</v>
      </c>
      <c r="C113" s="10" t="str">
        <f ca="1">IFERROR(__xludf.DUMMYFUNCTION("""COMPUTED_VALUE"""),"Search_Generic_Terms")</f>
        <v>Search_Generic_Terms</v>
      </c>
      <c r="D113" s="2">
        <f ca="1">IFERROR(__xludf.DUMMYFUNCTION("""COMPUTED_VALUE"""),45678)</f>
        <v>45678</v>
      </c>
      <c r="E113" s="2">
        <f ca="1">IFERROR(__xludf.DUMMYFUNCTION("""COMPUTED_VALUE"""),890)</f>
        <v>890</v>
      </c>
      <c r="F113" s="2">
        <f ca="1">IFERROR(__xludf.DUMMYFUNCTION("""COMPUTED_VALUE"""),567.8)</f>
        <v>567.79999999999995</v>
      </c>
      <c r="G113" s="2">
        <f ca="1">IFERROR(__xludf.DUMMYFUNCTION("""COMPUTED_VALUE"""),23)</f>
        <v>23</v>
      </c>
    </row>
    <row r="114" spans="1:7" ht="22.5" customHeight="1" x14ac:dyDescent="0.2">
      <c r="A114" s="2" t="str">
        <f ca="1">IFERROR(__xludf.DUMMYFUNCTION("""COMPUTED_VALUE"""),"2024-01-01")</f>
        <v>2024-01-01</v>
      </c>
      <c r="B114" s="10" t="str">
        <f ca="1">IFERROR(__xludf.DUMMYFUNCTION("""COMPUTED_VALUE"""),"Google")</f>
        <v>Google</v>
      </c>
      <c r="C114" s="10" t="str">
        <f ca="1">IFERROR(__xludf.DUMMYFUNCTION("""COMPUTED_VALUE"""),"Shopping_All_Products")</f>
        <v>Shopping_All_Products</v>
      </c>
      <c r="D114" s="2">
        <f ca="1">IFERROR(__xludf.DUMMYFUNCTION("""COMPUTED_VALUE"""),67890)</f>
        <v>67890</v>
      </c>
      <c r="E114" s="2">
        <f ca="1">IFERROR(__xludf.DUMMYFUNCTION("""COMPUTED_VALUE"""),2345)</f>
        <v>2345</v>
      </c>
      <c r="F114" s="2">
        <f ca="1">IFERROR(__xludf.DUMMYFUNCTION("""COMPUTED_VALUE"""),423.6)</f>
        <v>423.6</v>
      </c>
      <c r="G114" s="2">
        <f ca="1">IFERROR(__xludf.DUMMYFUNCTION("""COMPUTED_VALUE"""),67)</f>
        <v>67</v>
      </c>
    </row>
    <row r="115" spans="1:7" ht="22.5" customHeight="1" x14ac:dyDescent="0.2">
      <c r="A115" s="2" t="str">
        <f ca="1">IFERROR(__xludf.DUMMYFUNCTION("""COMPUTED_VALUE"""),"2024-01-02")</f>
        <v>2024-01-02</v>
      </c>
      <c r="B115" s="10" t="str">
        <f ca="1">IFERROR(__xludf.DUMMYFUNCTION("""COMPUTED_VALUE"""),"Google")</f>
        <v>Google</v>
      </c>
      <c r="C115" s="10" t="str">
        <f ca="1">IFERROR(__xludf.DUMMYFUNCTION("""COMPUTED_VALUE"""),"Search_Brand_Terms")</f>
        <v>Search_Brand_Terms</v>
      </c>
      <c r="D115" s="2">
        <f ca="1">IFERROR(__xludf.DUMMYFUNCTION("""COMPUTED_VALUE"""),24567)</f>
        <v>24567</v>
      </c>
      <c r="E115" s="2">
        <f ca="1">IFERROR(__xludf.DUMMYFUNCTION("""COMPUTED_VALUE"""),1289)</f>
        <v>1289</v>
      </c>
      <c r="F115" s="2">
        <f ca="1">IFERROR(__xludf.DUMMYFUNCTION("""COMPUTED_VALUE"""),245.6)</f>
        <v>245.6</v>
      </c>
      <c r="G115" s="2">
        <f ca="1">IFERROR(__xludf.DUMMYFUNCTION("""COMPUTED_VALUE"""),48)</f>
        <v>48</v>
      </c>
    </row>
    <row r="116" spans="1:7" ht="22.5" customHeight="1" x14ac:dyDescent="0.2">
      <c r="A116" s="2" t="str">
        <f ca="1">IFERROR(__xludf.DUMMYFUNCTION("""COMPUTED_VALUE"""),"2024-01-02")</f>
        <v>2024-01-02</v>
      </c>
      <c r="B116" s="10" t="str">
        <f ca="1">IFERROR(__xludf.DUMMYFUNCTION("""COMPUTED_VALUE"""),"Google")</f>
        <v>Google</v>
      </c>
      <c r="C116" s="10" t="str">
        <f ca="1">IFERROR(__xludf.DUMMYFUNCTION("""COMPUTED_VALUE"""),"Search_Generic_Terms")</f>
        <v>Search_Generic_Terms</v>
      </c>
      <c r="D116" s="2">
        <f ca="1">IFERROR(__xludf.DUMMYFUNCTION("""COMPUTED_VALUE"""),43234)</f>
        <v>43234</v>
      </c>
      <c r="E116" s="2">
        <f ca="1">IFERROR(__xludf.DUMMYFUNCTION("""COMPUTED_VALUE"""),823)</f>
        <v>823</v>
      </c>
      <c r="F116" s="2">
        <f ca="1">IFERROR(__xludf.DUMMYFUNCTION("""COMPUTED_VALUE"""),534.2)</f>
        <v>534.20000000000005</v>
      </c>
      <c r="G116" s="2">
        <f ca="1">IFERROR(__xludf.DUMMYFUNCTION("""COMPUTED_VALUE"""),21)</f>
        <v>21</v>
      </c>
    </row>
    <row r="117" spans="1:7" ht="22.5" customHeight="1" x14ac:dyDescent="0.2">
      <c r="A117" s="2" t="str">
        <f ca="1">IFERROR(__xludf.DUMMYFUNCTION("""COMPUTED_VALUE"""),"2024-01-02")</f>
        <v>2024-01-02</v>
      </c>
      <c r="B117" s="10" t="str">
        <f ca="1">IFERROR(__xludf.DUMMYFUNCTION("""COMPUTED_VALUE"""),"Google")</f>
        <v>Google</v>
      </c>
      <c r="C117" s="10" t="str">
        <f ca="1">IFERROR(__xludf.DUMMYFUNCTION("""COMPUTED_VALUE"""),"Shopping_All_Products")</f>
        <v>Shopping_All_Products</v>
      </c>
      <c r="D117" s="2">
        <f ca="1">IFERROR(__xludf.DUMMYFUNCTION("""COMPUTED_VALUE"""),71234)</f>
        <v>71234</v>
      </c>
      <c r="E117" s="2">
        <f ca="1">IFERROR(__xludf.DUMMYFUNCTION("""COMPUTED_VALUE"""),2456)</f>
        <v>2456</v>
      </c>
      <c r="F117" s="2">
        <f ca="1">IFERROR(__xludf.DUMMYFUNCTION("""COMPUTED_VALUE"""),445.8)</f>
        <v>445.8</v>
      </c>
      <c r="G117" s="2">
        <f ca="1">IFERROR(__xludf.DUMMYFUNCTION("""COMPUTED_VALUE"""),71)</f>
        <v>71</v>
      </c>
    </row>
    <row r="118" spans="1:7" ht="22.5" customHeight="1" x14ac:dyDescent="0.2">
      <c r="A118" s="2" t="str">
        <f ca="1">IFERROR(__xludf.DUMMYFUNCTION("""COMPUTED_VALUE"""),"2024-01-03")</f>
        <v>2024-01-03</v>
      </c>
      <c r="B118" s="10" t="str">
        <f ca="1">IFERROR(__xludf.DUMMYFUNCTION("""COMPUTED_VALUE"""),"Google")</f>
        <v>Google</v>
      </c>
      <c r="C118" s="10" t="str">
        <f ca="1">IFERROR(__xludf.DUMMYFUNCTION("""COMPUTED_VALUE"""),"Search_Brand_Terms")</f>
        <v>Search_Brand_Terms</v>
      </c>
      <c r="D118" s="2">
        <f ca="1">IFERROR(__xludf.DUMMYFUNCTION("""COMPUTED_VALUE"""),22345)</f>
        <v>22345</v>
      </c>
      <c r="E118" s="2">
        <f ca="1">IFERROR(__xludf.DUMMYFUNCTION("""COMPUTED_VALUE"""),1123)</f>
        <v>1123</v>
      </c>
      <c r="F118" s="2">
        <f ca="1">IFERROR(__xludf.DUMMYFUNCTION("""COMPUTED_VALUE"""),213.4)</f>
        <v>213.4</v>
      </c>
      <c r="G118" s="2">
        <f ca="1">IFERROR(__xludf.DUMMYFUNCTION("""COMPUTED_VALUE"""),42)</f>
        <v>42</v>
      </c>
    </row>
    <row r="119" spans="1:7" ht="22.5" customHeight="1" x14ac:dyDescent="0.2">
      <c r="A119" s="2" t="str">
        <f ca="1">IFERROR(__xludf.DUMMYFUNCTION("""COMPUTED_VALUE"""),"2024-01-03")</f>
        <v>2024-01-03</v>
      </c>
      <c r="B119" s="10" t="str">
        <f ca="1">IFERROR(__xludf.DUMMYFUNCTION("""COMPUTED_VALUE"""),"Google")</f>
        <v>Google</v>
      </c>
      <c r="C119" s="10" t="str">
        <f ca="1">IFERROR(__xludf.DUMMYFUNCTION("""COMPUTED_VALUE"""),"Search_Generic_Terms")</f>
        <v>Search_Generic_Terms</v>
      </c>
      <c r="D119" s="2">
        <f ca="1">IFERROR(__xludf.DUMMYFUNCTION("""COMPUTED_VALUE"""),47890)</f>
        <v>47890</v>
      </c>
      <c r="E119" s="2">
        <f ca="1">IFERROR(__xludf.DUMMYFUNCTION("""COMPUTED_VALUE"""),967)</f>
        <v>967</v>
      </c>
      <c r="F119" s="2">
        <f ca="1">IFERROR(__xludf.DUMMYFUNCTION("""COMPUTED_VALUE"""),623.5)</f>
        <v>623.5</v>
      </c>
      <c r="G119" s="2">
        <f ca="1">IFERROR(__xludf.DUMMYFUNCTION("""COMPUTED_VALUE"""),25)</f>
        <v>25</v>
      </c>
    </row>
    <row r="120" spans="1:7" ht="22.5" customHeight="1" x14ac:dyDescent="0.2">
      <c r="A120" s="2" t="str">
        <f ca="1">IFERROR(__xludf.DUMMYFUNCTION("""COMPUTED_VALUE"""),"2024-01-03")</f>
        <v>2024-01-03</v>
      </c>
      <c r="B120" s="10" t="str">
        <f ca="1">IFERROR(__xludf.DUMMYFUNCTION("""COMPUTED_VALUE"""),"Google")</f>
        <v>Google</v>
      </c>
      <c r="C120" s="10" t="str">
        <f ca="1">IFERROR(__xludf.DUMMYFUNCTION("""COMPUTED_VALUE"""),"Display_Remarketing")</f>
        <v>Display_Remarketing</v>
      </c>
      <c r="D120" s="2">
        <f ca="1">IFERROR(__xludf.DUMMYFUNCTION("""COMPUTED_VALUE"""),123456)</f>
        <v>123456</v>
      </c>
      <c r="E120" s="2">
        <f ca="1">IFERROR(__xludf.DUMMYFUNCTION("""COMPUTED_VALUE"""),456)</f>
        <v>456</v>
      </c>
      <c r="F120" s="2">
        <f ca="1">IFERROR(__xludf.DUMMYFUNCTION("""COMPUTED_VALUE"""),123.4)</f>
        <v>123.4</v>
      </c>
      <c r="G120" s="2">
        <f ca="1">IFERROR(__xludf.DUMMYFUNCTION("""COMPUTED_VALUE"""),12)</f>
        <v>12</v>
      </c>
    </row>
    <row r="121" spans="1:7" ht="22.5" customHeight="1" x14ac:dyDescent="0.2">
      <c r="A121" s="2" t="str">
        <f ca="1">IFERROR(__xludf.DUMMYFUNCTION("""COMPUTED_VALUE"""),"2024-01-04")</f>
        <v>2024-01-04</v>
      </c>
      <c r="B121" s="10" t="str">
        <f ca="1">IFERROR(__xludf.DUMMYFUNCTION("""COMPUTED_VALUE"""),"Google")</f>
        <v>Google</v>
      </c>
      <c r="C121" s="10" t="str">
        <f ca="1">IFERROR(__xludf.DUMMYFUNCTION("""COMPUTED_VALUE"""),"Search_Brand_Terms")</f>
        <v>Search_Brand_Terms</v>
      </c>
      <c r="D121" s="2">
        <f ca="1">IFERROR(__xludf.DUMMYFUNCTION("""COMPUTED_VALUE"""),25678)</f>
        <v>25678</v>
      </c>
      <c r="E121" s="2">
        <f ca="1">IFERROR(__xludf.DUMMYFUNCTION("""COMPUTED_VALUE"""),1345)</f>
        <v>1345</v>
      </c>
      <c r="F121" s="2">
        <f ca="1">IFERROR(__xludf.DUMMYFUNCTION("""COMPUTED_VALUE"""),256.7)</f>
        <v>256.7</v>
      </c>
      <c r="G121" s="2">
        <f ca="1">IFERROR(__xludf.DUMMYFUNCTION("""COMPUTED_VALUE"""),50)</f>
        <v>50</v>
      </c>
    </row>
    <row r="122" spans="1:7" ht="22.5" customHeight="1" x14ac:dyDescent="0.2">
      <c r="A122" s="2" t="str">
        <f ca="1">IFERROR(__xludf.DUMMYFUNCTION("""COMPUTED_VALUE"""),"2024-01-04")</f>
        <v>2024-01-04</v>
      </c>
      <c r="B122" s="10" t="str">
        <f ca="1">IFERROR(__xludf.DUMMYFUNCTION("""COMPUTED_VALUE"""),"Google")</f>
        <v>Google</v>
      </c>
      <c r="C122" s="10" t="str">
        <f ca="1">IFERROR(__xludf.DUMMYFUNCTION("""COMPUTED_VALUE"""),"Shopping_All_Products")</f>
        <v>Shopping_All_Products</v>
      </c>
      <c r="D122" s="2">
        <f ca="1">IFERROR(__xludf.DUMMYFUNCTION("""COMPUTED_VALUE"""),69456)</f>
        <v>69456</v>
      </c>
      <c r="E122" s="2">
        <f ca="1">IFERROR(__xludf.DUMMYFUNCTION("""COMPUTED_VALUE"""),2234)</f>
        <v>2234</v>
      </c>
      <c r="F122" s="2">
        <f ca="1">IFERROR(__xludf.DUMMYFUNCTION("""COMPUTED_VALUE"""),412.3)</f>
        <v>412.3</v>
      </c>
      <c r="G122" s="2">
        <f ca="1">IFERROR(__xludf.DUMMYFUNCTION("""COMPUTED_VALUE"""),65)</f>
        <v>65</v>
      </c>
    </row>
    <row r="123" spans="1:7" ht="22.5" customHeight="1" x14ac:dyDescent="0.2">
      <c r="A123" s="2" t="str">
        <f ca="1">IFERROR(__xludf.DUMMYFUNCTION("""COMPUTED_VALUE"""),"2024-01-04")</f>
        <v>2024-01-04</v>
      </c>
      <c r="B123" s="10" t="str">
        <f ca="1">IFERROR(__xludf.DUMMYFUNCTION("""COMPUTED_VALUE"""),"Google")</f>
        <v>Google</v>
      </c>
      <c r="C123" s="10" t="str">
        <f ca="1">IFERROR(__xludf.DUMMYFUNCTION("""COMPUTED_VALUE"""),"Display_Remarketing")</f>
        <v>Display_Remarketing</v>
      </c>
      <c r="D123" s="2">
        <f ca="1">IFERROR(__xludf.DUMMYFUNCTION("""COMPUTED_VALUE"""),134567)</f>
        <v>134567</v>
      </c>
      <c r="E123" s="2">
        <f ca="1">IFERROR(__xludf.DUMMYFUNCTION("""COMPUTED_VALUE"""),489)</f>
        <v>489</v>
      </c>
      <c r="F123" s="2">
        <f ca="1">IFERROR(__xludf.DUMMYFUNCTION("""COMPUTED_VALUE"""),134.5)</f>
        <v>134.5</v>
      </c>
      <c r="G123" s="2">
        <f ca="1">IFERROR(__xludf.DUMMYFUNCTION("""COMPUTED_VALUE"""),14)</f>
        <v>14</v>
      </c>
    </row>
    <row r="124" spans="1:7" ht="22.5" customHeight="1" x14ac:dyDescent="0.2">
      <c r="A124" s="2" t="str">
        <f ca="1">IFERROR(__xludf.DUMMYFUNCTION("""COMPUTED_VALUE"""),"2024-01-05")</f>
        <v>2024-01-05</v>
      </c>
      <c r="B124" s="10" t="str">
        <f ca="1">IFERROR(__xludf.DUMMYFUNCTION("""COMPUTED_VALUE"""),"Google")</f>
        <v>Google</v>
      </c>
      <c r="C124" s="10" t="str">
        <f ca="1">IFERROR(__xludf.DUMMYFUNCTION("""COMPUTED_VALUE"""),"Search_Brand_Terms")</f>
        <v>Search_Brand_Terms</v>
      </c>
      <c r="D124" s="2">
        <f ca="1">IFERROR(__xludf.DUMMYFUNCTION("""COMPUTED_VALUE"""),23890)</f>
        <v>23890</v>
      </c>
      <c r="E124" s="2">
        <f ca="1">IFERROR(__xludf.DUMMYFUNCTION("""COMPUTED_VALUE"""),1234)</f>
        <v>1234</v>
      </c>
      <c r="F124" s="2">
        <f ca="1">IFERROR(__xludf.DUMMYFUNCTION("""COMPUTED_VALUE"""),234.9)</f>
        <v>234.9</v>
      </c>
      <c r="G124" s="2">
        <f ca="1">IFERROR(__xludf.DUMMYFUNCTION("""COMPUTED_VALUE"""),46)</f>
        <v>46</v>
      </c>
    </row>
    <row r="125" spans="1:7" ht="22.5" customHeight="1" x14ac:dyDescent="0.2">
      <c r="A125" s="2" t="str">
        <f ca="1">IFERROR(__xludf.DUMMYFUNCTION("""COMPUTED_VALUE"""),"2024-01-05")</f>
        <v>2024-01-05</v>
      </c>
      <c r="B125" s="10" t="str">
        <f ca="1">IFERROR(__xludf.DUMMYFUNCTION("""COMPUTED_VALUE"""),"Google")</f>
        <v>Google</v>
      </c>
      <c r="C125" s="10" t="str">
        <f ca="1">IFERROR(__xludf.DUMMYFUNCTION("""COMPUTED_VALUE"""),"Search_Generic_Terms")</f>
        <v>Search_Generic_Terms</v>
      </c>
      <c r="D125" s="2">
        <f ca="1">IFERROR(__xludf.DUMMYFUNCTION("""COMPUTED_VALUE"""),46234)</f>
        <v>46234</v>
      </c>
      <c r="E125" s="2">
        <f ca="1">IFERROR(__xludf.DUMMYFUNCTION("""COMPUTED_VALUE"""),912)</f>
        <v>912</v>
      </c>
      <c r="F125" s="2">
        <f ca="1">IFERROR(__xludf.DUMMYFUNCTION("""COMPUTED_VALUE"""),589.3)</f>
        <v>589.29999999999995</v>
      </c>
      <c r="G125" s="2">
        <f ca="1">IFERROR(__xludf.DUMMYFUNCTION("""COMPUTED_VALUE"""),24)</f>
        <v>24</v>
      </c>
    </row>
    <row r="126" spans="1:7" ht="22.5" customHeight="1" x14ac:dyDescent="0.2">
      <c r="A126" s="2" t="str">
        <f ca="1">IFERROR(__xludf.DUMMYFUNCTION("""COMPUTED_VALUE"""),"2024-01-05")</f>
        <v>2024-01-05</v>
      </c>
      <c r="B126" s="10" t="str">
        <f ca="1">IFERROR(__xludf.DUMMYFUNCTION("""COMPUTED_VALUE"""),"Google")</f>
        <v>Google</v>
      </c>
      <c r="C126" s="10" t="str">
        <f ca="1">IFERROR(__xludf.DUMMYFUNCTION("""COMPUTED_VALUE"""),"Display_Remarketing")</f>
        <v>Display_Remarketing</v>
      </c>
      <c r="D126" s="2">
        <f ca="1">IFERROR(__xludf.DUMMYFUNCTION("""COMPUTED_VALUE"""),128901)</f>
        <v>128901</v>
      </c>
      <c r="E126" s="2">
        <f ca="1">IFERROR(__xludf.DUMMYFUNCTION("""COMPUTED_VALUE"""),467)</f>
        <v>467</v>
      </c>
      <c r="F126" s="2">
        <f ca="1">IFERROR(__xludf.DUMMYFUNCTION("""COMPUTED_VALUE"""),128.9)</f>
        <v>128.9</v>
      </c>
      <c r="G126" s="2">
        <f ca="1">IFERROR(__xludf.DUMMYFUNCTION("""COMPUTED_VALUE"""),13)</f>
        <v>13</v>
      </c>
    </row>
    <row r="127" spans="1:7" ht="22.5" customHeight="1" x14ac:dyDescent="0.2">
      <c r="A127" s="2" t="str">
        <f ca="1">IFERROR(__xludf.DUMMYFUNCTION("""COMPUTED_VALUE"""),"2024-01-06")</f>
        <v>2024-01-06</v>
      </c>
      <c r="B127" s="10" t="str">
        <f ca="1">IFERROR(__xludf.DUMMYFUNCTION("""COMPUTED_VALUE"""),"Google")</f>
        <v>Google</v>
      </c>
      <c r="C127" s="10" t="str">
        <f ca="1">IFERROR(__xludf.DUMMYFUNCTION("""COMPUTED_VALUE"""),"Search_Brand_Terms")</f>
        <v>Search_Brand_Terms</v>
      </c>
      <c r="D127" s="2">
        <f ca="1">IFERROR(__xludf.DUMMYFUNCTION("""COMPUTED_VALUE"""),24234)</f>
        <v>24234</v>
      </c>
      <c r="E127" s="2">
        <f ca="1">IFERROR(__xludf.DUMMYFUNCTION("""COMPUTED_VALUE"""),1267)</f>
        <v>1267</v>
      </c>
      <c r="F127" s="2">
        <f ca="1">IFERROR(__xludf.DUMMYFUNCTION("""COMPUTED_VALUE"""),241.2)</f>
        <v>241.2</v>
      </c>
      <c r="G127" s="2">
        <f ca="1">IFERROR(__xludf.DUMMYFUNCTION("""COMPUTED_VALUE"""),47)</f>
        <v>47</v>
      </c>
    </row>
    <row r="128" spans="1:7" ht="22.5" customHeight="1" x14ac:dyDescent="0.2">
      <c r="A128" s="2" t="str">
        <f ca="1">IFERROR(__xludf.DUMMYFUNCTION("""COMPUTED_VALUE"""),"2024-01-06")</f>
        <v>2024-01-06</v>
      </c>
      <c r="B128" s="10" t="str">
        <f ca="1">IFERROR(__xludf.DUMMYFUNCTION("""COMPUTED_VALUE"""),"Google")</f>
        <v>Google</v>
      </c>
      <c r="C128" s="10" t="str">
        <f ca="1">IFERROR(__xludf.DUMMYFUNCTION("""COMPUTED_VALUE"""),"Shopping_All_Products")</f>
        <v>Shopping_All_Products</v>
      </c>
      <c r="D128" s="2">
        <f ca="1">IFERROR(__xludf.DUMMYFUNCTION("""COMPUTED_VALUE"""),72345)</f>
        <v>72345</v>
      </c>
      <c r="E128" s="2">
        <f ca="1">IFERROR(__xludf.DUMMYFUNCTION("""COMPUTED_VALUE"""),2378)</f>
        <v>2378</v>
      </c>
      <c r="F128" s="2">
        <f ca="1">IFERROR(__xludf.DUMMYFUNCTION("""COMPUTED_VALUE"""),432.9)</f>
        <v>432.9</v>
      </c>
      <c r="G128" s="2">
        <f ca="1">IFERROR(__xludf.DUMMYFUNCTION("""COMPUTED_VALUE"""),69)</f>
        <v>69</v>
      </c>
    </row>
    <row r="129" spans="1:7" ht="22.5" customHeight="1" x14ac:dyDescent="0.2">
      <c r="A129" s="2" t="str">
        <f ca="1">IFERROR(__xludf.DUMMYFUNCTION("""COMPUTED_VALUE"""),"2024-01-06")</f>
        <v>2024-01-06</v>
      </c>
      <c r="B129" s="10" t="str">
        <f ca="1">IFERROR(__xludf.DUMMYFUNCTION("""COMPUTED_VALUE"""),"Google")</f>
        <v>Google</v>
      </c>
      <c r="C129" s="10" t="str">
        <f ca="1">IFERROR(__xludf.DUMMYFUNCTION("""COMPUTED_VALUE"""),"Display_Remarketing")</f>
        <v>Display_Remarketing</v>
      </c>
      <c r="D129" s="2">
        <f ca="1">IFERROR(__xludf.DUMMYFUNCTION("""COMPUTED_VALUE"""),131234)</f>
        <v>131234</v>
      </c>
      <c r="E129" s="2">
        <f ca="1">IFERROR(__xludf.DUMMYFUNCTION("""COMPUTED_VALUE"""),478)</f>
        <v>478</v>
      </c>
      <c r="F129" s="2">
        <f ca="1">IFERROR(__xludf.DUMMYFUNCTION("""COMPUTED_VALUE"""),132.4)</f>
        <v>132.4</v>
      </c>
      <c r="G129" s="2">
        <f ca="1">IFERROR(__xludf.DUMMYFUNCTION("""COMPUTED_VALUE"""),13)</f>
        <v>13</v>
      </c>
    </row>
    <row r="130" spans="1:7" ht="22.5" customHeight="1" x14ac:dyDescent="0.2">
      <c r="A130" s="2" t="str">
        <f ca="1">IFERROR(__xludf.DUMMYFUNCTION("""COMPUTED_VALUE"""),"2024-01-07")</f>
        <v>2024-01-07</v>
      </c>
      <c r="B130" s="10" t="str">
        <f ca="1">IFERROR(__xludf.DUMMYFUNCTION("""COMPUTED_VALUE"""),"Google")</f>
        <v>Google</v>
      </c>
      <c r="C130" s="10" t="str">
        <f ca="1">IFERROR(__xludf.DUMMYFUNCTION("""COMPUTED_VALUE"""),"Search_Brand_Terms")</f>
        <v>Search_Brand_Terms</v>
      </c>
      <c r="D130" s="2">
        <f ca="1">IFERROR(__xludf.DUMMYFUNCTION("""COMPUTED_VALUE"""),26789)</f>
        <v>26789</v>
      </c>
      <c r="E130" s="2">
        <f ca="1">IFERROR(__xludf.DUMMYFUNCTION("""COMPUTED_VALUE"""),1456)</f>
        <v>1456</v>
      </c>
      <c r="F130" s="2">
        <f ca="1">IFERROR(__xludf.DUMMYFUNCTION("""COMPUTED_VALUE"""),278.9)</f>
        <v>278.89999999999998</v>
      </c>
      <c r="G130" s="2">
        <f ca="1">IFERROR(__xludf.DUMMYFUNCTION("""COMPUTED_VALUE"""),54)</f>
        <v>54</v>
      </c>
    </row>
    <row r="131" spans="1:7" ht="22.5" customHeight="1" x14ac:dyDescent="0.2">
      <c r="A131" s="2" t="str">
        <f ca="1">IFERROR(__xludf.DUMMYFUNCTION("""COMPUTED_VALUE"""),"2024-01-07")</f>
        <v>2024-01-07</v>
      </c>
      <c r="B131" s="10" t="str">
        <f ca="1">IFERROR(__xludf.DUMMYFUNCTION("""COMPUTED_VALUE"""),"Google")</f>
        <v>Google</v>
      </c>
      <c r="C131" s="10" t="str">
        <f ca="1">IFERROR(__xludf.DUMMYFUNCTION("""COMPUTED_VALUE"""),"Search_Generic_Terms")</f>
        <v>Search_Generic_Terms</v>
      </c>
      <c r="D131" s="2">
        <f ca="1">IFERROR(__xludf.DUMMYFUNCTION("""COMPUTED_VALUE"""),44567)</f>
        <v>44567</v>
      </c>
      <c r="E131" s="2">
        <f ca="1">IFERROR(__xludf.DUMMYFUNCTION("""COMPUTED_VALUE"""),878)</f>
        <v>878</v>
      </c>
      <c r="F131" s="2">
        <f ca="1">IFERROR(__xludf.DUMMYFUNCTION("""COMPUTED_VALUE"""),567.2)</f>
        <v>567.20000000000005</v>
      </c>
      <c r="G131" s="2">
        <f ca="1">IFERROR(__xludf.DUMMYFUNCTION("""COMPUTED_VALUE"""),22)</f>
        <v>22</v>
      </c>
    </row>
    <row r="132" spans="1:7" ht="22.5" customHeight="1" x14ac:dyDescent="0.2">
      <c r="A132" s="2" t="str">
        <f ca="1">IFERROR(__xludf.DUMMYFUNCTION("""COMPUTED_VALUE"""),"2024-01-07")</f>
        <v>2024-01-07</v>
      </c>
      <c r="B132" s="10" t="str">
        <f ca="1">IFERROR(__xludf.DUMMYFUNCTION("""COMPUTED_VALUE"""),"Google")</f>
        <v>Google</v>
      </c>
      <c r="C132" s="10" t="str">
        <f ca="1">IFERROR(__xludf.DUMMYFUNCTION("""COMPUTED_VALUE"""),"Shopping_All_Products")</f>
        <v>Shopping_All_Products</v>
      </c>
      <c r="D132" s="2">
        <f ca="1">IFERROR(__xludf.DUMMYFUNCTION("""COMPUTED_VALUE"""),70234)</f>
        <v>70234</v>
      </c>
      <c r="E132" s="2">
        <f ca="1">IFERROR(__xludf.DUMMYFUNCTION("""COMPUTED_VALUE"""),2289)</f>
        <v>2289</v>
      </c>
      <c r="F132" s="2">
        <f ca="1">IFERROR(__xludf.DUMMYFUNCTION("""COMPUTED_VALUE"""),419.5)</f>
        <v>419.5</v>
      </c>
      <c r="G132" s="2">
        <f ca="1">IFERROR(__xludf.DUMMYFUNCTION("""COMPUTED_VALUE"""),66)</f>
        <v>66</v>
      </c>
    </row>
    <row r="133" spans="1:7" ht="22.5" customHeight="1" x14ac:dyDescent="0.2">
      <c r="A133" s="2" t="str">
        <f ca="1">IFERROR(__xludf.DUMMYFUNCTION("""COMPUTED_VALUE"""),"2024-01-08")</f>
        <v>2024-01-08</v>
      </c>
      <c r="B133" s="10" t="str">
        <f ca="1">IFERROR(__xludf.DUMMYFUNCTION("""COMPUTED_VALUE"""),"Google")</f>
        <v>Google</v>
      </c>
      <c r="C133" s="10" t="str">
        <f ca="1">IFERROR(__xludf.DUMMYFUNCTION("""COMPUTED_VALUE"""),"Search_Brand_Terms")</f>
        <v>Search_Brand_Terms</v>
      </c>
      <c r="D133" s="2">
        <f ca="1">IFERROR(__xludf.DUMMYFUNCTION("""COMPUTED_VALUE"""),22567)</f>
        <v>22567</v>
      </c>
      <c r="E133" s="2">
        <f ca="1">IFERROR(__xludf.DUMMYFUNCTION("""COMPUTED_VALUE"""),1134)</f>
        <v>1134</v>
      </c>
      <c r="F133" s="2">
        <f ca="1">IFERROR(__xludf.DUMMYFUNCTION("""COMPUTED_VALUE"""),216.8)</f>
        <v>216.8</v>
      </c>
      <c r="G133" s="2">
        <f ca="1">IFERROR(__xludf.DUMMYFUNCTION("""COMPUTED_VALUE"""),43)</f>
        <v>43</v>
      </c>
    </row>
    <row r="134" spans="1:7" ht="22.5" customHeight="1" x14ac:dyDescent="0.2">
      <c r="A134" s="2" t="str">
        <f ca="1">IFERROR(__xludf.DUMMYFUNCTION("""COMPUTED_VALUE"""),"2024-01-08")</f>
        <v>2024-01-08</v>
      </c>
      <c r="B134" s="10" t="str">
        <f ca="1">IFERROR(__xludf.DUMMYFUNCTION("""COMPUTED_VALUE"""),"Google")</f>
        <v>Google</v>
      </c>
      <c r="C134" s="10" t="str">
        <f ca="1">IFERROR(__xludf.DUMMYFUNCTION("""COMPUTED_VALUE"""),"Search_Generic_Terms")</f>
        <v>Search_Generic_Terms</v>
      </c>
      <c r="D134" s="2">
        <f ca="1">IFERROR(__xludf.DUMMYFUNCTION("""COMPUTED_VALUE"""),48234)</f>
        <v>48234</v>
      </c>
      <c r="E134" s="2">
        <f ca="1">IFERROR(__xludf.DUMMYFUNCTION("""COMPUTED_VALUE"""),989)</f>
        <v>989</v>
      </c>
      <c r="F134" s="2">
        <f ca="1">IFERROR(__xludf.DUMMYFUNCTION("""COMPUTED_VALUE"""),634.7)</f>
        <v>634.70000000000005</v>
      </c>
      <c r="G134" s="2">
        <f ca="1">IFERROR(__xludf.DUMMYFUNCTION("""COMPUTED_VALUE"""),26)</f>
        <v>26</v>
      </c>
    </row>
    <row r="135" spans="1:7" ht="22.5" customHeight="1" x14ac:dyDescent="0.2">
      <c r="A135" s="2" t="str">
        <f ca="1">IFERROR(__xludf.DUMMYFUNCTION("""COMPUTED_VALUE"""),"2024-01-08")</f>
        <v>2024-01-08</v>
      </c>
      <c r="B135" s="10" t="str">
        <f ca="1">IFERROR(__xludf.DUMMYFUNCTION("""COMPUTED_VALUE"""),"Google")</f>
        <v>Google</v>
      </c>
      <c r="C135" s="10" t="str">
        <f ca="1">IFERROR(__xludf.DUMMYFUNCTION("""COMPUTED_VALUE"""),"Display_Remarketing")</f>
        <v>Display_Remarketing</v>
      </c>
      <c r="D135" s="2">
        <f ca="1">IFERROR(__xludf.DUMMYFUNCTION("""COMPUTED_VALUE"""),125678)</f>
        <v>125678</v>
      </c>
      <c r="E135" s="2">
        <f ca="1">IFERROR(__xludf.DUMMYFUNCTION("""COMPUTED_VALUE"""),445)</f>
        <v>445</v>
      </c>
      <c r="F135" s="2">
        <f ca="1">IFERROR(__xludf.DUMMYFUNCTION("""COMPUTED_VALUE"""),121.3)</f>
        <v>121.3</v>
      </c>
      <c r="G135" s="2">
        <f ca="1">IFERROR(__xludf.DUMMYFUNCTION("""COMPUTED_VALUE"""),11)</f>
        <v>11</v>
      </c>
    </row>
    <row r="136" spans="1:7" ht="22.5" customHeight="1" x14ac:dyDescent="0.2">
      <c r="A136" s="2" t="str">
        <f ca="1">IFERROR(__xludf.DUMMYFUNCTION("""COMPUTED_VALUE"""),"2024-01-09")</f>
        <v>2024-01-09</v>
      </c>
      <c r="B136" s="10" t="str">
        <f ca="1">IFERROR(__xludf.DUMMYFUNCTION("""COMPUTED_VALUE"""),"Google")</f>
        <v>Google</v>
      </c>
      <c r="C136" s="10" t="str">
        <f ca="1">IFERROR(__xludf.DUMMYFUNCTION("""COMPUTED_VALUE"""),"Search_Brand_Terms")</f>
        <v>Search_Brand_Terms</v>
      </c>
      <c r="D136" s="2">
        <f ca="1">IFERROR(__xludf.DUMMYFUNCTION("""COMPUTED_VALUE"""),25234)</f>
        <v>25234</v>
      </c>
      <c r="E136" s="2">
        <f ca="1">IFERROR(__xludf.DUMMYFUNCTION("""COMPUTED_VALUE"""),1312)</f>
        <v>1312</v>
      </c>
      <c r="F136" s="2">
        <f ca="1">IFERROR(__xludf.DUMMYFUNCTION("""COMPUTED_VALUE"""),250.3)</f>
        <v>250.3</v>
      </c>
      <c r="G136" s="2">
        <f ca="1">IFERROR(__xludf.DUMMYFUNCTION("""COMPUTED_VALUE"""),49)</f>
        <v>49</v>
      </c>
    </row>
    <row r="137" spans="1:7" ht="22.5" customHeight="1" x14ac:dyDescent="0.2">
      <c r="A137" s="2" t="str">
        <f ca="1">IFERROR(__xludf.DUMMYFUNCTION("""COMPUTED_VALUE"""),"2024-01-09")</f>
        <v>2024-01-09</v>
      </c>
      <c r="B137" s="10" t="str">
        <f ca="1">IFERROR(__xludf.DUMMYFUNCTION("""COMPUTED_VALUE"""),"Google")</f>
        <v>Google</v>
      </c>
      <c r="C137" s="10" t="str">
        <f ca="1">IFERROR(__xludf.DUMMYFUNCTION("""COMPUTED_VALUE"""),"Shopping_All_Products")</f>
        <v>Shopping_All_Products</v>
      </c>
      <c r="D137" s="2">
        <f ca="1">IFERROR(__xludf.DUMMYFUNCTION("""COMPUTED_VALUE"""),73456)</f>
        <v>73456</v>
      </c>
      <c r="E137" s="2">
        <f ca="1">IFERROR(__xludf.DUMMYFUNCTION("""COMPUTED_VALUE"""),2423)</f>
        <v>2423</v>
      </c>
      <c r="F137" s="2">
        <f ca="1">IFERROR(__xludf.DUMMYFUNCTION("""COMPUTED_VALUE"""),441.8)</f>
        <v>441.8</v>
      </c>
      <c r="G137" s="2">
        <f ca="1">IFERROR(__xludf.DUMMYFUNCTION("""COMPUTED_VALUE"""),70)</f>
        <v>70</v>
      </c>
    </row>
    <row r="138" spans="1:7" ht="22.5" customHeight="1" x14ac:dyDescent="0.2">
      <c r="A138" s="2" t="str">
        <f ca="1">IFERROR(__xludf.DUMMYFUNCTION("""COMPUTED_VALUE"""),"2024-01-09")</f>
        <v>2024-01-09</v>
      </c>
      <c r="B138" s="10" t="str">
        <f ca="1">IFERROR(__xludf.DUMMYFUNCTION("""COMPUTED_VALUE"""),"Google")</f>
        <v>Google</v>
      </c>
      <c r="C138" s="10" t="str">
        <f ca="1">IFERROR(__xludf.DUMMYFUNCTION("""COMPUTED_VALUE"""),"Display_Remarketing")</f>
        <v>Display_Remarketing</v>
      </c>
      <c r="D138" s="2">
        <f ca="1">IFERROR(__xludf.DUMMYFUNCTION("""COMPUTED_VALUE"""),129345)</f>
        <v>129345</v>
      </c>
      <c r="E138" s="2">
        <f ca="1">IFERROR(__xludf.DUMMYFUNCTION("""COMPUTED_VALUE"""),456)</f>
        <v>456</v>
      </c>
      <c r="F138" s="2">
        <f ca="1">IFERROR(__xludf.DUMMYFUNCTION("""COMPUTED_VALUE"""),125.6)</f>
        <v>125.6</v>
      </c>
      <c r="G138" s="2">
        <f ca="1">IFERROR(__xludf.DUMMYFUNCTION("""COMPUTED_VALUE"""),12)</f>
        <v>12</v>
      </c>
    </row>
    <row r="139" spans="1:7" ht="22.5" customHeight="1" x14ac:dyDescent="0.2">
      <c r="A139" s="2" t="str">
        <f ca="1">IFERROR(__xludf.DUMMYFUNCTION("""COMPUTED_VALUE"""),"2024-01-10")</f>
        <v>2024-01-10</v>
      </c>
      <c r="B139" s="10" t="str">
        <f ca="1">IFERROR(__xludf.DUMMYFUNCTION("""COMPUTED_VALUE"""),"Google")</f>
        <v>Google</v>
      </c>
      <c r="C139" s="10" t="str">
        <f ca="1">IFERROR(__xludf.DUMMYFUNCTION("""COMPUTED_VALUE"""),"Search_Brand_Terms")</f>
        <v>Search_Brand_Terms</v>
      </c>
      <c r="D139" s="2">
        <f ca="1">IFERROR(__xludf.DUMMYFUNCTION("""COMPUTED_VALUE"""),24678)</f>
        <v>24678</v>
      </c>
      <c r="E139" s="2">
        <f ca="1">IFERROR(__xludf.DUMMYFUNCTION("""COMPUTED_VALUE"""),1289)</f>
        <v>1289</v>
      </c>
      <c r="F139" s="2">
        <f ca="1">IFERROR(__xludf.DUMMYFUNCTION("""COMPUTED_VALUE"""),245.9)</f>
        <v>245.9</v>
      </c>
      <c r="G139" s="2">
        <f ca="1">IFERROR(__xludf.DUMMYFUNCTION("""COMPUTED_VALUE"""),48)</f>
        <v>48</v>
      </c>
    </row>
    <row r="140" spans="1:7" ht="22.5" customHeight="1" x14ac:dyDescent="0.2">
      <c r="A140" s="2" t="str">
        <f ca="1">IFERROR(__xludf.DUMMYFUNCTION("""COMPUTED_VALUE"""),"2024-01-10")</f>
        <v>2024-01-10</v>
      </c>
      <c r="B140" s="10" t="str">
        <f ca="1">IFERROR(__xludf.DUMMYFUNCTION("""COMPUTED_VALUE"""),"Google")</f>
        <v>Google</v>
      </c>
      <c r="C140" s="10" t="str">
        <f ca="1">IFERROR(__xludf.DUMMYFUNCTION("""COMPUTED_VALUE"""),"Search_Generic_Terms")</f>
        <v>Search_Generic_Terms</v>
      </c>
      <c r="D140" s="2">
        <f ca="1">IFERROR(__xludf.DUMMYFUNCTION("""COMPUTED_VALUE"""),45234)</f>
        <v>45234</v>
      </c>
      <c r="E140" s="2">
        <f ca="1">IFERROR(__xludf.DUMMYFUNCTION("""COMPUTED_VALUE"""),901)</f>
        <v>901</v>
      </c>
      <c r="F140" s="2">
        <f ca="1">IFERROR(__xludf.DUMMYFUNCTION("""COMPUTED_VALUE"""),578.9)</f>
        <v>578.9</v>
      </c>
      <c r="G140" s="2">
        <f ca="1">IFERROR(__xludf.DUMMYFUNCTION("""COMPUTED_VALUE"""),23)</f>
        <v>23</v>
      </c>
    </row>
    <row r="141" spans="1:7" ht="22.5" customHeight="1" x14ac:dyDescent="0.2">
      <c r="A141" s="2" t="str">
        <f ca="1">IFERROR(__xludf.DUMMYFUNCTION("""COMPUTED_VALUE"""),"2024-01-10")</f>
        <v>2024-01-10</v>
      </c>
      <c r="B141" s="10" t="str">
        <f ca="1">IFERROR(__xludf.DUMMYFUNCTION("""COMPUTED_VALUE"""),"Google")</f>
        <v>Google</v>
      </c>
      <c r="C141" s="10" t="str">
        <f ca="1">IFERROR(__xludf.DUMMYFUNCTION("""COMPUTED_VALUE"""),"Shopping_All_Products")</f>
        <v>Shopping_All_Products</v>
      </c>
      <c r="D141" s="2">
        <f ca="1">IFERROR(__xludf.DUMMYFUNCTION("""COMPUTED_VALUE"""),68901)</f>
        <v>68901</v>
      </c>
      <c r="E141" s="2">
        <f ca="1">IFERROR(__xludf.DUMMYFUNCTION("""COMPUTED_VALUE"""),2267)</f>
        <v>2267</v>
      </c>
      <c r="F141" s="2">
        <f ca="1">IFERROR(__xludf.DUMMYFUNCTION("""COMPUTED_VALUE"""),414.2)</f>
        <v>414.2</v>
      </c>
      <c r="G141" s="2">
        <f ca="1">IFERROR(__xludf.DUMMYFUNCTION("""COMPUTED_VALUE"""),64)</f>
        <v>64</v>
      </c>
    </row>
    <row r="142" spans="1:7" ht="22.5" customHeight="1" x14ac:dyDescent="0.2">
      <c r="A142" s="2" t="str">
        <f ca="1">IFERROR(__xludf.DUMMYFUNCTION("""COMPUTED_VALUE"""),"2024-01-11")</f>
        <v>2024-01-11</v>
      </c>
      <c r="B142" s="10" t="str">
        <f ca="1">IFERROR(__xludf.DUMMYFUNCTION("""COMPUTED_VALUE"""),"Google")</f>
        <v>Google</v>
      </c>
      <c r="C142" s="10" t="str">
        <f ca="1">IFERROR(__xludf.DUMMYFUNCTION("""COMPUTED_VALUE"""),"Search_Brand_Terms")</f>
        <v>Search_Brand_Terms</v>
      </c>
      <c r="D142" s="2">
        <f ca="1">IFERROR(__xludf.DUMMYFUNCTION("""COMPUTED_VALUE"""),26234)</f>
        <v>26234</v>
      </c>
      <c r="E142" s="2">
        <f ca="1">IFERROR(__xludf.DUMMYFUNCTION("""COMPUTED_VALUE"""),1378)</f>
        <v>1378</v>
      </c>
      <c r="F142" s="2">
        <f ca="1">IFERROR(__xludf.DUMMYFUNCTION("""COMPUTED_VALUE"""),263.4)</f>
        <v>263.39999999999998</v>
      </c>
      <c r="G142" s="2">
        <f ca="1">IFERROR(__xludf.DUMMYFUNCTION("""COMPUTED_VALUE"""),52)</f>
        <v>52</v>
      </c>
    </row>
    <row r="143" spans="1:7" ht="22.5" customHeight="1" x14ac:dyDescent="0.2">
      <c r="A143" s="2" t="str">
        <f ca="1">IFERROR(__xludf.DUMMYFUNCTION("""COMPUTED_VALUE"""),"2024-01-11")</f>
        <v>2024-01-11</v>
      </c>
      <c r="B143" s="10" t="str">
        <f ca="1">IFERROR(__xludf.DUMMYFUNCTION("""COMPUTED_VALUE"""),"Google")</f>
        <v>Google</v>
      </c>
      <c r="C143" s="10" t="str">
        <f ca="1">IFERROR(__xludf.DUMMYFUNCTION("""COMPUTED_VALUE"""),"Search_Generic_Terms")</f>
        <v>Search_Generic_Terms</v>
      </c>
      <c r="D143" s="2">
        <f ca="1">IFERROR(__xludf.DUMMYFUNCTION("""COMPUTED_VALUE"""),47890)</f>
        <v>47890</v>
      </c>
      <c r="E143" s="2">
        <f ca="1">IFERROR(__xludf.DUMMYFUNCTION("""COMPUTED_VALUE"""),934)</f>
        <v>934</v>
      </c>
      <c r="F143" s="2">
        <f ca="1">IFERROR(__xludf.DUMMYFUNCTION("""COMPUTED_VALUE"""),612.5)</f>
        <v>612.5</v>
      </c>
      <c r="G143" s="2">
        <f ca="1">IFERROR(__xludf.DUMMYFUNCTION("""COMPUTED_VALUE"""),26)</f>
        <v>26</v>
      </c>
    </row>
    <row r="144" spans="1:7" ht="22.5" customHeight="1" x14ac:dyDescent="0.2">
      <c r="A144" s="2" t="str">
        <f ca="1">IFERROR(__xludf.DUMMYFUNCTION("""COMPUTED_VALUE"""),"2024-01-11")</f>
        <v>2024-01-11</v>
      </c>
      <c r="B144" s="10" t="str">
        <f ca="1">IFERROR(__xludf.DUMMYFUNCTION("""COMPUTED_VALUE"""),"Google")</f>
        <v>Google</v>
      </c>
      <c r="C144" s="10" t="str">
        <f ca="1">IFERROR(__xludf.DUMMYFUNCTION("""COMPUTED_VALUE"""),"Shopping_All_Products")</f>
        <v>Shopping_All_Products</v>
      </c>
      <c r="D144" s="2">
        <f ca="1">IFERROR(__xludf.DUMMYFUNCTION("""COMPUTED_VALUE"""),71234)</f>
        <v>71234</v>
      </c>
      <c r="E144" s="2">
        <f ca="1">IFERROR(__xludf.DUMMYFUNCTION("""COMPUTED_VALUE"""),2456)</f>
        <v>2456</v>
      </c>
      <c r="F144" s="2">
        <f ca="1">IFERROR(__xludf.DUMMYFUNCTION("""COMPUTED_VALUE"""),445.8)</f>
        <v>445.8</v>
      </c>
      <c r="G144" s="2">
        <f ca="1">IFERROR(__xludf.DUMMYFUNCTION("""COMPUTED_VALUE"""),71)</f>
        <v>71</v>
      </c>
    </row>
    <row r="145" spans="1:7" ht="22.5" customHeight="1" x14ac:dyDescent="0.2">
      <c r="A145" s="2" t="str">
        <f ca="1">IFERROR(__xludf.DUMMYFUNCTION("""COMPUTED_VALUE"""),"2024-01-11")</f>
        <v>2024-01-11</v>
      </c>
      <c r="B145" s="10" t="str">
        <f ca="1">IFERROR(__xludf.DUMMYFUNCTION("""COMPUTED_VALUE"""),"Google")</f>
        <v>Google</v>
      </c>
      <c r="C145" s="10" t="str">
        <f ca="1">IFERROR(__xludf.DUMMYFUNCTION("""COMPUTED_VALUE"""),"Display_Remarketing")</f>
        <v>Display_Remarketing</v>
      </c>
      <c r="D145" s="2">
        <f ca="1">IFERROR(__xludf.DUMMYFUNCTION("""COMPUTED_VALUE"""),136789)</f>
        <v>136789</v>
      </c>
      <c r="E145" s="2">
        <f ca="1">IFERROR(__xludf.DUMMYFUNCTION("""COMPUTED_VALUE"""),512)</f>
        <v>512</v>
      </c>
      <c r="F145" s="2">
        <f ca="1">IFERROR(__xludf.DUMMYFUNCTION("""COMPUTED_VALUE"""),142.3)</f>
        <v>142.30000000000001</v>
      </c>
      <c r="G145" s="2">
        <f ca="1">IFERROR(__xludf.DUMMYFUNCTION("""COMPUTED_VALUE"""),15)</f>
        <v>15</v>
      </c>
    </row>
    <row r="146" spans="1:7" ht="22.5" customHeight="1" x14ac:dyDescent="0.2">
      <c r="A146" s="2" t="str">
        <f ca="1">IFERROR(__xludf.DUMMYFUNCTION("""COMPUTED_VALUE"""),"2024-01-12")</f>
        <v>2024-01-12</v>
      </c>
      <c r="B146" s="10" t="str">
        <f ca="1">IFERROR(__xludf.DUMMYFUNCTION("""COMPUTED_VALUE"""),"Google")</f>
        <v>Google</v>
      </c>
      <c r="C146" s="10" t="str">
        <f ca="1">IFERROR(__xludf.DUMMYFUNCTION("""COMPUTED_VALUE"""),"Search_Brand_Terms")</f>
        <v>Search_Brand_Terms</v>
      </c>
      <c r="D146" s="2">
        <f ca="1">IFERROR(__xludf.DUMMYFUNCTION("""COMPUTED_VALUE"""),25123)</f>
        <v>25123</v>
      </c>
      <c r="E146" s="2">
        <f ca="1">IFERROR(__xludf.DUMMYFUNCTION("""COMPUTED_VALUE"""),1312)</f>
        <v>1312</v>
      </c>
      <c r="F146" s="2">
        <f ca="1">IFERROR(__xludf.DUMMYFUNCTION("""COMPUTED_VALUE"""),250.4)</f>
        <v>250.4</v>
      </c>
      <c r="G146" s="2">
        <f ca="1">IFERROR(__xludf.DUMMYFUNCTION("""COMPUTED_VALUE"""),49)</f>
        <v>49</v>
      </c>
    </row>
    <row r="147" spans="1:7" ht="22.5" customHeight="1" x14ac:dyDescent="0.2">
      <c r="A147" s="2" t="str">
        <f ca="1">IFERROR(__xludf.DUMMYFUNCTION("""COMPUTED_VALUE"""),"2024-01-12")</f>
        <v>2024-01-12</v>
      </c>
      <c r="B147" s="10" t="str">
        <f ca="1">IFERROR(__xludf.DUMMYFUNCTION("""COMPUTED_VALUE"""),"Google")</f>
        <v>Google</v>
      </c>
      <c r="C147" s="10" t="str">
        <f ca="1">IFERROR(__xludf.DUMMYFUNCTION("""COMPUTED_VALUE"""),"Search_Generic_Terms")</f>
        <v>Search_Generic_Terms</v>
      </c>
      <c r="D147" s="2">
        <f ca="1">IFERROR(__xludf.DUMMYFUNCTION("""COMPUTED_VALUE"""),46567)</f>
        <v>46567</v>
      </c>
      <c r="E147" s="2">
        <f ca="1">IFERROR(__xludf.DUMMYFUNCTION("""COMPUTED_VALUE"""),912)</f>
        <v>912</v>
      </c>
      <c r="F147" s="2">
        <f ca="1">IFERROR(__xludf.DUMMYFUNCTION("""COMPUTED_VALUE"""),596.7)</f>
        <v>596.70000000000005</v>
      </c>
      <c r="G147" s="2">
        <f ca="1">IFERROR(__xludf.DUMMYFUNCTION("""COMPUTED_VALUE"""),24)</f>
        <v>24</v>
      </c>
    </row>
    <row r="148" spans="1:7" ht="22.5" customHeight="1" x14ac:dyDescent="0.2">
      <c r="A148" s="2" t="str">
        <f ca="1">IFERROR(__xludf.DUMMYFUNCTION("""COMPUTED_VALUE"""),"2024-01-12")</f>
        <v>2024-01-12</v>
      </c>
      <c r="B148" s="10" t="str">
        <f ca="1">IFERROR(__xludf.DUMMYFUNCTION("""COMPUTED_VALUE"""),"Google")</f>
        <v>Google</v>
      </c>
      <c r="C148" s="10" t="str">
        <f ca="1">IFERROR(__xludf.DUMMYFUNCTION("""COMPUTED_VALUE"""),"Shopping_All_Products")</f>
        <v>Shopping_All_Products</v>
      </c>
      <c r="D148" s="2">
        <f ca="1">IFERROR(__xludf.DUMMYFUNCTION("""COMPUTED_VALUE"""),69890)</f>
        <v>69890</v>
      </c>
      <c r="E148" s="2">
        <f ca="1">IFERROR(__xludf.DUMMYFUNCTION("""COMPUTED_VALUE"""),2334)</f>
        <v>2334</v>
      </c>
      <c r="F148" s="2">
        <f ca="1">IFERROR(__xludf.DUMMYFUNCTION("""COMPUTED_VALUE"""),428.9)</f>
        <v>428.9</v>
      </c>
      <c r="G148" s="2">
        <f ca="1">IFERROR(__xludf.DUMMYFUNCTION("""COMPUTED_VALUE"""),66)</f>
        <v>66</v>
      </c>
    </row>
    <row r="149" spans="1:7" ht="22.5" customHeight="1" x14ac:dyDescent="0.2">
      <c r="A149" s="2" t="str">
        <f ca="1">IFERROR(__xludf.DUMMYFUNCTION("""COMPUTED_VALUE"""),"2024-01-12")</f>
        <v>2024-01-12</v>
      </c>
      <c r="B149" s="10" t="str">
        <f ca="1">IFERROR(__xludf.DUMMYFUNCTION("""COMPUTED_VALUE"""),"Google")</f>
        <v>Google</v>
      </c>
      <c r="C149" s="10" t="str">
        <f ca="1">IFERROR(__xludf.DUMMYFUNCTION("""COMPUTED_VALUE"""),"Display_Remarketing")</f>
        <v>Display_Remarketing</v>
      </c>
      <c r="D149" s="2">
        <f ca="1">IFERROR(__xludf.DUMMYFUNCTION("""COMPUTED_VALUE"""),133456)</f>
        <v>133456</v>
      </c>
      <c r="E149" s="2">
        <f ca="1">IFERROR(__xludf.DUMMYFUNCTION("""COMPUTED_VALUE"""),489)</f>
        <v>489</v>
      </c>
      <c r="F149" s="2">
        <f ca="1">IFERROR(__xludf.DUMMYFUNCTION("""COMPUTED_VALUE"""),131.2)</f>
        <v>131.19999999999999</v>
      </c>
      <c r="G149" s="2">
        <f ca="1">IFERROR(__xludf.DUMMYFUNCTION("""COMPUTED_VALUE"""),14)</f>
        <v>14</v>
      </c>
    </row>
    <row r="150" spans="1:7" ht="22.5" customHeight="1" x14ac:dyDescent="0.2">
      <c r="A150" s="2" t="str">
        <f ca="1">IFERROR(__xludf.DUMMYFUNCTION("""COMPUTED_VALUE"""),"2024-01-13")</f>
        <v>2024-01-13</v>
      </c>
      <c r="B150" s="10" t="str">
        <f ca="1">IFERROR(__xludf.DUMMYFUNCTION("""COMPUTED_VALUE"""),"Google")</f>
        <v>Google</v>
      </c>
      <c r="C150" s="10" t="str">
        <f ca="1">IFERROR(__xludf.DUMMYFUNCTION("""COMPUTED_VALUE"""),"Search_Brand_Terms")</f>
        <v>Search_Brand_Terms</v>
      </c>
      <c r="D150" s="2">
        <f ca="1">IFERROR(__xludf.DUMMYFUNCTION("""COMPUTED_VALUE"""),22456)</f>
        <v>22456</v>
      </c>
      <c r="E150" s="2">
        <f ca="1">IFERROR(__xludf.DUMMYFUNCTION("""COMPUTED_VALUE"""),1156)</f>
        <v>1156</v>
      </c>
      <c r="F150" s="2">
        <f ca="1">IFERROR(__xludf.DUMMYFUNCTION("""COMPUTED_VALUE"""),220.4)</f>
        <v>220.4</v>
      </c>
      <c r="G150" s="2">
        <f ca="1">IFERROR(__xludf.DUMMYFUNCTION("""COMPUTED_VALUE"""),43)</f>
        <v>43</v>
      </c>
    </row>
    <row r="151" spans="1:7" ht="22.5" customHeight="1" x14ac:dyDescent="0.2">
      <c r="A151" s="2" t="str">
        <f ca="1">IFERROR(__xludf.DUMMYFUNCTION("""COMPUTED_VALUE"""),"2024-01-13")</f>
        <v>2024-01-13</v>
      </c>
      <c r="B151" s="10" t="str">
        <f ca="1">IFERROR(__xludf.DUMMYFUNCTION("""COMPUTED_VALUE"""),"Google")</f>
        <v>Google</v>
      </c>
      <c r="C151" s="10" t="str">
        <f ca="1">IFERROR(__xludf.DUMMYFUNCTION("""COMPUTED_VALUE"""),"Search_Generic_Terms")</f>
        <v>Search_Generic_Terms</v>
      </c>
      <c r="D151" s="2">
        <f ca="1">IFERROR(__xludf.DUMMYFUNCTION("""COMPUTED_VALUE"""),41234)</f>
        <v>41234</v>
      </c>
      <c r="E151" s="2">
        <f ca="1">IFERROR(__xludf.DUMMYFUNCTION("""COMPUTED_VALUE"""),823)</f>
        <v>823</v>
      </c>
      <c r="F151" s="2">
        <f ca="1">IFERROR(__xludf.DUMMYFUNCTION("""COMPUTED_VALUE"""),528.9)</f>
        <v>528.9</v>
      </c>
      <c r="G151" s="2">
        <f ca="1">IFERROR(__xludf.DUMMYFUNCTION("""COMPUTED_VALUE"""),21)</f>
        <v>21</v>
      </c>
    </row>
    <row r="152" spans="1:7" ht="22.5" customHeight="1" x14ac:dyDescent="0.2">
      <c r="A152" s="2" t="str">
        <f ca="1">IFERROR(__xludf.DUMMYFUNCTION("""COMPUTED_VALUE"""),"2024-01-13")</f>
        <v>2024-01-13</v>
      </c>
      <c r="B152" s="10" t="str">
        <f ca="1">IFERROR(__xludf.DUMMYFUNCTION("""COMPUTED_VALUE"""),"Google")</f>
        <v>Google</v>
      </c>
      <c r="C152" s="10" t="str">
        <f ca="1">IFERROR(__xludf.DUMMYFUNCTION("""COMPUTED_VALUE"""),"Shopping_All_Products")</f>
        <v>Shopping_All_Products</v>
      </c>
      <c r="D152" s="2">
        <f ca="1">IFERROR(__xludf.DUMMYFUNCTION("""COMPUTED_VALUE"""),63456)</f>
        <v>63456</v>
      </c>
      <c r="E152" s="2">
        <f ca="1">IFERROR(__xludf.DUMMYFUNCTION("""COMPUTED_VALUE"""),2089)</f>
        <v>2089</v>
      </c>
      <c r="F152" s="2">
        <f ca="1">IFERROR(__xludf.DUMMYFUNCTION("""COMPUTED_VALUE"""),382.6)</f>
        <v>382.6</v>
      </c>
      <c r="G152" s="2">
        <f ca="1">IFERROR(__xludf.DUMMYFUNCTION("""COMPUTED_VALUE"""),60)</f>
        <v>60</v>
      </c>
    </row>
    <row r="153" spans="1:7" ht="22.5" customHeight="1" x14ac:dyDescent="0.2">
      <c r="A153" s="2" t="str">
        <f ca="1">IFERROR(__xludf.DUMMYFUNCTION("""COMPUTED_VALUE"""),"2024-01-13")</f>
        <v>2024-01-13</v>
      </c>
      <c r="B153" s="10" t="str">
        <f ca="1">IFERROR(__xludf.DUMMYFUNCTION("""COMPUTED_VALUE"""),"Google")</f>
        <v>Google</v>
      </c>
      <c r="C153" s="10" t="str">
        <f ca="1">IFERROR(__xludf.DUMMYFUNCTION("""COMPUTED_VALUE"""),"Display_Remarketing")</f>
        <v>Display_Remarketing</v>
      </c>
      <c r="D153" s="2">
        <f ca="1">IFERROR(__xludf.DUMMYFUNCTION("""COMPUTED_VALUE"""),119234)</f>
        <v>119234</v>
      </c>
      <c r="E153" s="2">
        <f ca="1">IFERROR(__xludf.DUMMYFUNCTION("""COMPUTED_VALUE"""),434)</f>
        <v>434</v>
      </c>
      <c r="F153" s="2">
        <f ca="1">IFERROR(__xludf.DUMMYFUNCTION("""COMPUTED_VALUE"""),116.8)</f>
        <v>116.8</v>
      </c>
      <c r="G153" s="2">
        <f ca="1">IFERROR(__xludf.DUMMYFUNCTION("""COMPUTED_VALUE"""),12)</f>
        <v>12</v>
      </c>
    </row>
    <row r="154" spans="1:7" ht="22.5" customHeight="1" x14ac:dyDescent="0.2">
      <c r="A154" s="2" t="str">
        <f ca="1">IFERROR(__xludf.DUMMYFUNCTION("""COMPUTED_VALUE"""),"2024-01-14")</f>
        <v>2024-01-14</v>
      </c>
      <c r="B154" s="10" t="str">
        <f ca="1">IFERROR(__xludf.DUMMYFUNCTION("""COMPUTED_VALUE"""),"Google")</f>
        <v>Google</v>
      </c>
      <c r="C154" s="10" t="str">
        <f ca="1">IFERROR(__xludf.DUMMYFUNCTION("""COMPUTED_VALUE"""),"Search_Brand_Terms")</f>
        <v>Search_Brand_Terms</v>
      </c>
      <c r="D154" s="2">
        <f ca="1">IFERROR(__xludf.DUMMYFUNCTION("""COMPUTED_VALUE"""),21234)</f>
        <v>21234</v>
      </c>
      <c r="E154" s="2">
        <f ca="1">IFERROR(__xludf.DUMMYFUNCTION("""COMPUTED_VALUE"""),1089)</f>
        <v>1089</v>
      </c>
      <c r="F154" s="2">
        <f ca="1">IFERROR(__xludf.DUMMYFUNCTION("""COMPUTED_VALUE"""),207.8)</f>
        <v>207.8</v>
      </c>
      <c r="G154" s="2">
        <f ca="1">IFERROR(__xludf.DUMMYFUNCTION("""COMPUTED_VALUE"""),41)</f>
        <v>41</v>
      </c>
    </row>
    <row r="155" spans="1:7" ht="22.5" customHeight="1" x14ac:dyDescent="0.2">
      <c r="A155" s="2" t="str">
        <f ca="1">IFERROR(__xludf.DUMMYFUNCTION("""COMPUTED_VALUE"""),"2024-01-14")</f>
        <v>2024-01-14</v>
      </c>
      <c r="B155" s="10" t="str">
        <f ca="1">IFERROR(__xludf.DUMMYFUNCTION("""COMPUTED_VALUE"""),"Google")</f>
        <v>Google</v>
      </c>
      <c r="C155" s="10" t="str">
        <f ca="1">IFERROR(__xludf.DUMMYFUNCTION("""COMPUTED_VALUE"""),"Search_Generic_Terms")</f>
        <v>Search_Generic_Terms</v>
      </c>
      <c r="D155" s="2">
        <f ca="1">IFERROR(__xludf.DUMMYFUNCTION("""COMPUTED_VALUE"""),39567)</f>
        <v>39567</v>
      </c>
      <c r="E155" s="2">
        <f ca="1">IFERROR(__xludf.DUMMYFUNCTION("""COMPUTED_VALUE"""),789)</f>
        <v>789</v>
      </c>
      <c r="F155" s="2">
        <f ca="1">IFERROR(__xludf.DUMMYFUNCTION("""COMPUTED_VALUE"""),507.4)</f>
        <v>507.4</v>
      </c>
      <c r="G155" s="2">
        <f ca="1">IFERROR(__xludf.DUMMYFUNCTION("""COMPUTED_VALUE"""),19)</f>
        <v>19</v>
      </c>
    </row>
    <row r="156" spans="1:7" ht="22.5" customHeight="1" x14ac:dyDescent="0.2">
      <c r="A156" s="2" t="str">
        <f ca="1">IFERROR(__xludf.DUMMYFUNCTION("""COMPUTED_VALUE"""),"2024-01-14")</f>
        <v>2024-01-14</v>
      </c>
      <c r="B156" s="10" t="str">
        <f ca="1">IFERROR(__xludf.DUMMYFUNCTION("""COMPUTED_VALUE"""),"Google")</f>
        <v>Google</v>
      </c>
      <c r="C156" s="10" t="str">
        <f ca="1">IFERROR(__xludf.DUMMYFUNCTION("""COMPUTED_VALUE"""),"Shopping_All_Products")</f>
        <v>Shopping_All_Products</v>
      </c>
      <c r="D156" s="2">
        <f ca="1">IFERROR(__xludf.DUMMYFUNCTION("""COMPUTED_VALUE"""),61890)</f>
        <v>61890</v>
      </c>
      <c r="E156" s="2">
        <f ca="1">IFERROR(__xludf.DUMMYFUNCTION("""COMPUTED_VALUE"""),2012)</f>
        <v>2012</v>
      </c>
      <c r="F156" s="2">
        <f ca="1">IFERROR(__xludf.DUMMYFUNCTION("""COMPUTED_VALUE"""),369.3)</f>
        <v>369.3</v>
      </c>
      <c r="G156" s="2">
        <f ca="1">IFERROR(__xludf.DUMMYFUNCTION("""COMPUTED_VALUE"""),58)</f>
        <v>58</v>
      </c>
    </row>
    <row r="157" spans="1:7" ht="22.5" customHeight="1" x14ac:dyDescent="0.2">
      <c r="A157" s="2" t="str">
        <f ca="1">IFERROR(__xludf.DUMMYFUNCTION("""COMPUTED_VALUE"""),"2024-01-14")</f>
        <v>2024-01-14</v>
      </c>
      <c r="B157" s="10" t="str">
        <f ca="1">IFERROR(__xludf.DUMMYFUNCTION("""COMPUTED_VALUE"""),"Google")</f>
        <v>Google</v>
      </c>
      <c r="C157" s="10" t="str">
        <f ca="1">IFERROR(__xludf.DUMMYFUNCTION("""COMPUTED_VALUE"""),"Display_Remarketing")</f>
        <v>Display_Remarketing</v>
      </c>
      <c r="D157" s="2">
        <f ca="1">IFERROR(__xludf.DUMMYFUNCTION("""COMPUTED_VALUE"""),115678)</f>
        <v>115678</v>
      </c>
      <c r="E157" s="2">
        <f ca="1">IFERROR(__xludf.DUMMYFUNCTION("""COMPUTED_VALUE"""),412)</f>
        <v>412</v>
      </c>
      <c r="F157" s="2">
        <f ca="1">IFERROR(__xludf.DUMMYFUNCTION("""COMPUTED_VALUE"""),113.4)</f>
        <v>113.4</v>
      </c>
      <c r="G157" s="2">
        <f ca="1">IFERROR(__xludf.DUMMYFUNCTION("""COMPUTED_VALUE"""),11)</f>
        <v>11</v>
      </c>
    </row>
    <row r="158" spans="1:7" ht="22.5" customHeight="1" x14ac:dyDescent="0.2">
      <c r="A158" s="2" t="str">
        <f ca="1">IFERROR(__xludf.DUMMYFUNCTION("""COMPUTED_VALUE"""),"2024-01-15")</f>
        <v>2024-01-15</v>
      </c>
      <c r="B158" s="10" t="str">
        <f ca="1">IFERROR(__xludf.DUMMYFUNCTION("""COMPUTED_VALUE"""),"Google")</f>
        <v>Google</v>
      </c>
      <c r="C158" s="10" t="str">
        <f ca="1">IFERROR(__xludf.DUMMYFUNCTION("""COMPUTED_VALUE"""),"Search_Brand_Terms")</f>
        <v>Search_Brand_Terms</v>
      </c>
      <c r="D158" s="2">
        <f ca="1">IFERROR(__xludf.DUMMYFUNCTION("""COMPUTED_VALUE"""),23890)</f>
        <v>23890</v>
      </c>
      <c r="E158" s="2">
        <f ca="1">IFERROR(__xludf.DUMMYFUNCTION("""COMPUTED_VALUE"""),1234)</f>
        <v>1234</v>
      </c>
      <c r="F158" s="2">
        <f ca="1">IFERROR(__xludf.DUMMYFUNCTION("""COMPUTED_VALUE"""),235.6)</f>
        <v>235.6</v>
      </c>
      <c r="G158" s="2">
        <f ca="1">IFERROR(__xludf.DUMMYFUNCTION("""COMPUTED_VALUE"""),46)</f>
        <v>46</v>
      </c>
    </row>
    <row r="159" spans="1:7" ht="22.5" customHeight="1" x14ac:dyDescent="0.2">
      <c r="A159" s="2" t="str">
        <f ca="1">IFERROR(__xludf.DUMMYFUNCTION("""COMPUTED_VALUE"""),"2024-01-15")</f>
        <v>2024-01-15</v>
      </c>
      <c r="B159" s="10" t="str">
        <f ca="1">IFERROR(__xludf.DUMMYFUNCTION("""COMPUTED_VALUE"""),"Google")</f>
        <v>Google</v>
      </c>
      <c r="C159" s="10" t="str">
        <f ca="1">IFERROR(__xludf.DUMMYFUNCTION("""COMPUTED_VALUE"""),"Search_Generic_Terms")</f>
        <v>Search_Generic_Terms</v>
      </c>
      <c r="D159" s="2">
        <f ca="1">IFERROR(__xludf.DUMMYFUNCTION("""COMPUTED_VALUE"""),43789)</f>
        <v>43789</v>
      </c>
      <c r="E159" s="2">
        <f ca="1">IFERROR(__xludf.DUMMYFUNCTION("""COMPUTED_VALUE"""),856)</f>
        <v>856</v>
      </c>
      <c r="F159" s="2">
        <f ca="1">IFERROR(__xludf.DUMMYFUNCTION("""COMPUTED_VALUE"""),560.9)</f>
        <v>560.9</v>
      </c>
      <c r="G159" s="2">
        <f ca="1">IFERROR(__xludf.DUMMYFUNCTION("""COMPUTED_VALUE"""),22)</f>
        <v>22</v>
      </c>
    </row>
    <row r="160" spans="1:7" ht="22.5" customHeight="1" x14ac:dyDescent="0.2">
      <c r="A160" s="2" t="str">
        <f ca="1">IFERROR(__xludf.DUMMYFUNCTION("""COMPUTED_VALUE"""),"2024-01-15")</f>
        <v>2024-01-15</v>
      </c>
      <c r="B160" s="10" t="str">
        <f ca="1">IFERROR(__xludf.DUMMYFUNCTION("""COMPUTED_VALUE"""),"Google")</f>
        <v>Google</v>
      </c>
      <c r="C160" s="10" t="str">
        <f ca="1">IFERROR(__xludf.DUMMYFUNCTION("""COMPUTED_VALUE"""),"Shopping_All_Products")</f>
        <v>Shopping_All_Products</v>
      </c>
      <c r="D160" s="2">
        <f ca="1">IFERROR(__xludf.DUMMYFUNCTION("""COMPUTED_VALUE"""),67234)</f>
        <v>67234</v>
      </c>
      <c r="E160" s="2">
        <f ca="1">IFERROR(__xludf.DUMMYFUNCTION("""COMPUTED_VALUE"""),2234)</f>
        <v>2234</v>
      </c>
      <c r="F160" s="2">
        <f ca="1">IFERROR(__xludf.DUMMYFUNCTION("""COMPUTED_VALUE"""),411.7)</f>
        <v>411.7</v>
      </c>
      <c r="G160" s="2">
        <f ca="1">IFERROR(__xludf.DUMMYFUNCTION("""COMPUTED_VALUE"""),65)</f>
        <v>65</v>
      </c>
    </row>
    <row r="161" spans="1:7" ht="22.5" customHeight="1" x14ac:dyDescent="0.2">
      <c r="A161" s="2" t="str">
        <f ca="1">IFERROR(__xludf.DUMMYFUNCTION("""COMPUTED_VALUE"""),"2024-01-15")</f>
        <v>2024-01-15</v>
      </c>
      <c r="B161" s="10" t="str">
        <f ca="1">IFERROR(__xludf.DUMMYFUNCTION("""COMPUTED_VALUE"""),"Google")</f>
        <v>Google</v>
      </c>
      <c r="C161" s="10" t="str">
        <f ca="1">IFERROR(__xludf.DUMMYFUNCTION("""COMPUTED_VALUE"""),"Display_Remarketing")</f>
        <v>Display_Remarketing</v>
      </c>
      <c r="D161" s="2">
        <f ca="1">IFERROR(__xludf.DUMMYFUNCTION("""COMPUTED_VALUE"""),128901)</f>
        <v>128901</v>
      </c>
      <c r="E161" s="2">
        <f ca="1">IFERROR(__xludf.DUMMYFUNCTION("""COMPUTED_VALUE"""),467)</f>
        <v>467</v>
      </c>
      <c r="F161" s="2">
        <f ca="1">IFERROR(__xludf.DUMMYFUNCTION("""COMPUTED_VALUE"""),126.7)</f>
        <v>126.7</v>
      </c>
      <c r="G161" s="2">
        <f ca="1">IFERROR(__xludf.DUMMYFUNCTION("""COMPUTED_VALUE"""),13)</f>
        <v>13</v>
      </c>
    </row>
    <row r="162" spans="1:7" ht="22.5" customHeight="1" x14ac:dyDescent="0.2">
      <c r="A162" s="2" t="str">
        <f ca="1">IFERROR(__xludf.DUMMYFUNCTION("""COMPUTED_VALUE"""),"2024-01-16")</f>
        <v>2024-01-16</v>
      </c>
      <c r="B162" s="10" t="str">
        <f ca="1">IFERROR(__xludf.DUMMYFUNCTION("""COMPUTED_VALUE"""),"Google")</f>
        <v>Google</v>
      </c>
      <c r="C162" s="10" t="str">
        <f ca="1">IFERROR(__xludf.DUMMYFUNCTION("""COMPUTED_VALUE"""),"Search_Brand_Terms")</f>
        <v>Search_Brand_Terms</v>
      </c>
      <c r="D162" s="2">
        <f ca="1">IFERROR(__xludf.DUMMYFUNCTION("""COMPUTED_VALUE"""),25456)</f>
        <v>25456</v>
      </c>
      <c r="E162" s="2">
        <f ca="1">IFERROR(__xludf.DUMMYFUNCTION("""COMPUTED_VALUE"""),1345)</f>
        <v>1345</v>
      </c>
      <c r="F162" s="2">
        <f ca="1">IFERROR(__xludf.DUMMYFUNCTION("""COMPUTED_VALUE"""),257.3)</f>
        <v>257.3</v>
      </c>
      <c r="G162" s="2">
        <f ca="1">IFERROR(__xludf.DUMMYFUNCTION("""COMPUTED_VALUE"""),51)</f>
        <v>51</v>
      </c>
    </row>
    <row r="163" spans="1:7" ht="22.5" customHeight="1" x14ac:dyDescent="0.2">
      <c r="A163" s="2" t="str">
        <f ca="1">IFERROR(__xludf.DUMMYFUNCTION("""COMPUTED_VALUE"""),"2024-01-16")</f>
        <v>2024-01-16</v>
      </c>
      <c r="B163" s="10" t="str">
        <f ca="1">IFERROR(__xludf.DUMMYFUNCTION("""COMPUTED_VALUE"""),"Google")</f>
        <v>Google</v>
      </c>
      <c r="C163" s="10" t="str">
        <f ca="1">IFERROR(__xludf.DUMMYFUNCTION("""COMPUTED_VALUE"""),"Search_Generic_Terms")</f>
        <v>Search_Generic_Terms</v>
      </c>
      <c r="D163" s="2">
        <f ca="1">IFERROR(__xludf.DUMMYFUNCTION("""COMPUTED_VALUE"""),45678)</f>
        <v>45678</v>
      </c>
      <c r="E163" s="2">
        <f ca="1">IFERROR(__xludf.DUMMYFUNCTION("""COMPUTED_VALUE"""),901)</f>
        <v>901</v>
      </c>
      <c r="F163" s="2">
        <f ca="1">IFERROR(__xludf.DUMMYFUNCTION("""COMPUTED_VALUE"""),584.5)</f>
        <v>584.5</v>
      </c>
      <c r="G163" s="2">
        <f ca="1">IFERROR(__xludf.DUMMYFUNCTION("""COMPUTED_VALUE"""),24)</f>
        <v>24</v>
      </c>
    </row>
    <row r="164" spans="1:7" ht="22.5" customHeight="1" x14ac:dyDescent="0.2">
      <c r="A164" s="2" t="str">
        <f ca="1">IFERROR(__xludf.DUMMYFUNCTION("""COMPUTED_VALUE"""),"2024-01-16")</f>
        <v>2024-01-16</v>
      </c>
      <c r="B164" s="10" t="str">
        <f ca="1">IFERROR(__xludf.DUMMYFUNCTION("""COMPUTED_VALUE"""),"Google")</f>
        <v>Google</v>
      </c>
      <c r="C164" s="10" t="str">
        <f ca="1">IFERROR(__xludf.DUMMYFUNCTION("""COMPUTED_VALUE"""),"Shopping_All_Products")</f>
        <v>Shopping_All_Products</v>
      </c>
      <c r="D164" s="2">
        <f ca="1">IFERROR(__xludf.DUMMYFUNCTION("""COMPUTED_VALUE"""),70123)</f>
        <v>70123</v>
      </c>
      <c r="E164" s="2">
        <f ca="1">IFERROR(__xludf.DUMMYFUNCTION("""COMPUTED_VALUE"""),2378)</f>
        <v>2378</v>
      </c>
      <c r="F164" s="2">
        <f ca="1">IFERROR(__xludf.DUMMYFUNCTION("""COMPUTED_VALUE"""),435.8)</f>
        <v>435.8</v>
      </c>
      <c r="G164" s="2">
        <f ca="1">IFERROR(__xludf.DUMMYFUNCTION("""COMPUTED_VALUE"""),69)</f>
        <v>69</v>
      </c>
    </row>
    <row r="165" spans="1:7" ht="22.5" customHeight="1" x14ac:dyDescent="0.2">
      <c r="A165" s="2" t="str">
        <f ca="1">IFERROR(__xludf.DUMMYFUNCTION("""COMPUTED_VALUE"""),"2024-01-16")</f>
        <v>2024-01-16</v>
      </c>
      <c r="B165" s="10" t="str">
        <f ca="1">IFERROR(__xludf.DUMMYFUNCTION("""COMPUTED_VALUE"""),"Google")</f>
        <v>Google</v>
      </c>
      <c r="C165" s="10" t="str">
        <f ca="1">IFERROR(__xludf.DUMMYFUNCTION("""COMPUTED_VALUE"""),"Display_Remarketing")</f>
        <v>Display_Remarketing</v>
      </c>
      <c r="D165" s="2">
        <f ca="1">IFERROR(__xludf.DUMMYFUNCTION("""COMPUTED_VALUE"""),132567)</f>
        <v>132567</v>
      </c>
      <c r="E165" s="2">
        <f ca="1">IFERROR(__xludf.DUMMYFUNCTION("""COMPUTED_VALUE"""),489)</f>
        <v>489</v>
      </c>
      <c r="F165" s="2">
        <f ca="1">IFERROR(__xludf.DUMMYFUNCTION("""COMPUTED_VALUE"""),130.5)</f>
        <v>130.5</v>
      </c>
      <c r="G165" s="2">
        <f ca="1">IFERROR(__xludf.DUMMYFUNCTION("""COMPUTED_VALUE"""),14)</f>
        <v>14</v>
      </c>
    </row>
    <row r="166" spans="1:7" ht="22.5" customHeight="1" x14ac:dyDescent="0.2">
      <c r="A166" s="2" t="str">
        <f ca="1">IFERROR(__xludf.DUMMYFUNCTION("""COMPUTED_VALUE"""),"2024-01-17")</f>
        <v>2024-01-17</v>
      </c>
      <c r="B166" s="10" t="str">
        <f ca="1">IFERROR(__xludf.DUMMYFUNCTION("""COMPUTED_VALUE"""),"Google")</f>
        <v>Google</v>
      </c>
      <c r="C166" s="10" t="str">
        <f ca="1">IFERROR(__xludf.DUMMYFUNCTION("""COMPUTED_VALUE"""),"Search_Brand_Terms")</f>
        <v>Search_Brand_Terms</v>
      </c>
      <c r="D166" s="2">
        <f ca="1">IFERROR(__xludf.DUMMYFUNCTION("""COMPUTED_VALUE"""),26789)</f>
        <v>26789</v>
      </c>
      <c r="E166" s="2">
        <f ca="1">IFERROR(__xludf.DUMMYFUNCTION("""COMPUTED_VALUE"""),1456)</f>
        <v>1456</v>
      </c>
      <c r="F166" s="2">
        <f ca="1">IFERROR(__xludf.DUMMYFUNCTION("""COMPUTED_VALUE"""),278.9)</f>
        <v>278.89999999999998</v>
      </c>
      <c r="G166" s="2">
        <f ca="1">IFERROR(__xludf.DUMMYFUNCTION("""COMPUTED_VALUE"""),54)</f>
        <v>54</v>
      </c>
    </row>
    <row r="167" spans="1:7" ht="22.5" customHeight="1" x14ac:dyDescent="0.2">
      <c r="A167" s="2" t="str">
        <f ca="1">IFERROR(__xludf.DUMMYFUNCTION("""COMPUTED_VALUE"""),"2024-01-17")</f>
        <v>2024-01-17</v>
      </c>
      <c r="B167" s="10" t="str">
        <f ca="1">IFERROR(__xludf.DUMMYFUNCTION("""COMPUTED_VALUE"""),"Google")</f>
        <v>Google</v>
      </c>
      <c r="C167" s="10" t="str">
        <f ca="1">IFERROR(__xludf.DUMMYFUNCTION("""COMPUTED_VALUE"""),"Search_Generic_Terms")</f>
        <v>Search_Generic_Terms</v>
      </c>
      <c r="D167" s="2">
        <f ca="1">IFERROR(__xludf.DUMMYFUNCTION("""COMPUTED_VALUE"""),47234)</f>
        <v>47234</v>
      </c>
      <c r="E167" s="2">
        <f ca="1">IFERROR(__xludf.DUMMYFUNCTION("""COMPUTED_VALUE"""),967)</f>
        <v>967</v>
      </c>
      <c r="F167" s="2">
        <f ca="1">IFERROR(__xludf.DUMMYFUNCTION("""COMPUTED_VALUE"""),605.6)</f>
        <v>605.6</v>
      </c>
      <c r="G167" s="2">
        <f ca="1">IFERROR(__xludf.DUMMYFUNCTION("""COMPUTED_VALUE"""),25)</f>
        <v>25</v>
      </c>
    </row>
    <row r="168" spans="1:7" ht="22.5" customHeight="1" x14ac:dyDescent="0.2">
      <c r="A168" s="2" t="str">
        <f ca="1">IFERROR(__xludf.DUMMYFUNCTION("""COMPUTED_VALUE"""),"2024-01-17")</f>
        <v>2024-01-17</v>
      </c>
      <c r="B168" s="10" t="str">
        <f ca="1">IFERROR(__xludf.DUMMYFUNCTION("""COMPUTED_VALUE"""),"Google")</f>
        <v>Google</v>
      </c>
      <c r="C168" s="10" t="str">
        <f ca="1">IFERROR(__xludf.DUMMYFUNCTION("""COMPUTED_VALUE"""),"Shopping_All_Products")</f>
        <v>Shopping_All_Products</v>
      </c>
      <c r="D168" s="2">
        <f ca="1">IFERROR(__xludf.DUMMYFUNCTION("""COMPUTED_VALUE"""),72456)</f>
        <v>72456</v>
      </c>
      <c r="E168" s="2">
        <f ca="1">IFERROR(__xludf.DUMMYFUNCTION("""COMPUTED_VALUE"""),2489)</f>
        <v>2489</v>
      </c>
      <c r="F168" s="2">
        <f ca="1">IFERROR(__xludf.DUMMYFUNCTION("""COMPUTED_VALUE"""),450.7)</f>
        <v>450.7</v>
      </c>
      <c r="G168" s="2">
        <f ca="1">IFERROR(__xludf.DUMMYFUNCTION("""COMPUTED_VALUE"""),72)</f>
        <v>72</v>
      </c>
    </row>
    <row r="169" spans="1:7" ht="22.5" customHeight="1" x14ac:dyDescent="0.2">
      <c r="A169" s="2" t="str">
        <f ca="1">IFERROR(__xludf.DUMMYFUNCTION("""COMPUTED_VALUE"""),"2024-01-17")</f>
        <v>2024-01-17</v>
      </c>
      <c r="B169" s="10" t="str">
        <f ca="1">IFERROR(__xludf.DUMMYFUNCTION("""COMPUTED_VALUE"""),"Google")</f>
        <v>Google</v>
      </c>
      <c r="C169" s="10" t="str">
        <f ca="1">IFERROR(__xludf.DUMMYFUNCTION("""COMPUTED_VALUE"""),"Display_Remarketing")</f>
        <v>Display_Remarketing</v>
      </c>
      <c r="D169" s="2">
        <f ca="1">IFERROR(__xludf.DUMMYFUNCTION("""COMPUTED_VALUE"""),138901)</f>
        <v>138901</v>
      </c>
      <c r="E169" s="2">
        <f ca="1">IFERROR(__xludf.DUMMYFUNCTION("""COMPUTED_VALUE"""),534)</f>
        <v>534</v>
      </c>
      <c r="F169" s="2">
        <f ca="1">IFERROR(__xludf.DUMMYFUNCTION("""COMPUTED_VALUE"""),136.4)</f>
        <v>136.4</v>
      </c>
      <c r="G169" s="2">
        <f ca="1">IFERROR(__xludf.DUMMYFUNCTION("""COMPUTED_VALUE"""),15)</f>
        <v>15</v>
      </c>
    </row>
    <row r="170" spans="1:7" ht="22.5" customHeight="1" x14ac:dyDescent="0.2">
      <c r="A170" s="2" t="str">
        <f ca="1">IFERROR(__xludf.DUMMYFUNCTION("""COMPUTED_VALUE"""),"2024-01-18")</f>
        <v>2024-01-18</v>
      </c>
      <c r="B170" s="10" t="str">
        <f ca="1">IFERROR(__xludf.DUMMYFUNCTION("""COMPUTED_VALUE"""),"Google")</f>
        <v>Google</v>
      </c>
      <c r="C170" s="10" t="str">
        <f ca="1">IFERROR(__xludf.DUMMYFUNCTION("""COMPUTED_VALUE"""),"Search_Brand_Terms")</f>
        <v>Search_Brand_Terms</v>
      </c>
      <c r="D170" s="2">
        <f ca="1">IFERROR(__xludf.DUMMYFUNCTION("""COMPUTED_VALUE"""),25789)</f>
        <v>25789</v>
      </c>
      <c r="E170" s="2">
        <f ca="1">IFERROR(__xludf.DUMMYFUNCTION("""COMPUTED_VALUE"""),1389)</f>
        <v>1389</v>
      </c>
      <c r="F170" s="2">
        <f ca="1">IFERROR(__xludf.DUMMYFUNCTION("""COMPUTED_VALUE"""),265.2)</f>
        <v>265.2</v>
      </c>
      <c r="G170" s="2">
        <f ca="1">IFERROR(__xludf.DUMMYFUNCTION("""COMPUTED_VALUE"""),52)</f>
        <v>52</v>
      </c>
    </row>
    <row r="171" spans="1:7" ht="22.5" customHeight="1" x14ac:dyDescent="0.2">
      <c r="A171" s="2" t="str">
        <f ca="1">IFERROR(__xludf.DUMMYFUNCTION("""COMPUTED_VALUE"""),"2024-01-18")</f>
        <v>2024-01-18</v>
      </c>
      <c r="B171" s="10" t="str">
        <f ca="1">IFERROR(__xludf.DUMMYFUNCTION("""COMPUTED_VALUE"""),"Google")</f>
        <v>Google</v>
      </c>
      <c r="C171" s="10" t="str">
        <f ca="1">IFERROR(__xludf.DUMMYFUNCTION("""COMPUTED_VALUE"""),"Search_Generic_Terms")</f>
        <v>Search_Generic_Terms</v>
      </c>
      <c r="D171" s="2">
        <f ca="1">IFERROR(__xludf.DUMMYFUNCTION("""COMPUTED_VALUE"""),46123)</f>
        <v>46123</v>
      </c>
      <c r="E171" s="2">
        <f ca="1">IFERROR(__xludf.DUMMYFUNCTION("""COMPUTED_VALUE"""),923)</f>
        <v>923</v>
      </c>
      <c r="F171" s="2">
        <f ca="1">IFERROR(__xludf.DUMMYFUNCTION("""COMPUTED_VALUE"""),590.3)</f>
        <v>590.29999999999995</v>
      </c>
      <c r="G171" s="2">
        <f ca="1">IFERROR(__xludf.DUMMYFUNCTION("""COMPUTED_VALUE"""),24)</f>
        <v>24</v>
      </c>
    </row>
    <row r="172" spans="1:7" ht="22.5" customHeight="1" x14ac:dyDescent="0.2">
      <c r="A172" s="2" t="str">
        <f ca="1">IFERROR(__xludf.DUMMYFUNCTION("""COMPUTED_VALUE"""),"2024-01-18")</f>
        <v>2024-01-18</v>
      </c>
      <c r="B172" s="10" t="str">
        <f ca="1">IFERROR(__xludf.DUMMYFUNCTION("""COMPUTED_VALUE"""),"Google")</f>
        <v>Google</v>
      </c>
      <c r="C172" s="10" t="str">
        <f ca="1">IFERROR(__xludf.DUMMYFUNCTION("""COMPUTED_VALUE"""),"Shopping_All_Products")</f>
        <v>Shopping_All_Products</v>
      </c>
      <c r="D172" s="2">
        <f ca="1">IFERROR(__xludf.DUMMYFUNCTION("""COMPUTED_VALUE"""),71567)</f>
        <v>71567</v>
      </c>
      <c r="E172" s="2">
        <f ca="1">IFERROR(__xludf.DUMMYFUNCTION("""COMPUTED_VALUE"""),2412)</f>
        <v>2412</v>
      </c>
      <c r="F172" s="2">
        <f ca="1">IFERROR(__xludf.DUMMYFUNCTION("""COMPUTED_VALUE"""),442.3)</f>
        <v>442.3</v>
      </c>
      <c r="G172" s="2">
        <f ca="1">IFERROR(__xludf.DUMMYFUNCTION("""COMPUTED_VALUE"""),70)</f>
        <v>70</v>
      </c>
    </row>
    <row r="173" spans="1:7" ht="22.5" customHeight="1" x14ac:dyDescent="0.2">
      <c r="A173" s="2" t="str">
        <f ca="1">IFERROR(__xludf.DUMMYFUNCTION("""COMPUTED_VALUE"""),"2024-01-18")</f>
        <v>2024-01-18</v>
      </c>
      <c r="B173" s="10" t="str">
        <f ca="1">IFERROR(__xludf.DUMMYFUNCTION("""COMPUTED_VALUE"""),"Google")</f>
        <v>Google</v>
      </c>
      <c r="C173" s="10" t="str">
        <f ca="1">IFERROR(__xludf.DUMMYFUNCTION("""COMPUTED_VALUE"""),"Display_Remarketing")</f>
        <v>Display_Remarketing</v>
      </c>
      <c r="D173" s="2">
        <f ca="1">IFERROR(__xludf.DUMMYFUNCTION("""COMPUTED_VALUE"""),135234)</f>
        <v>135234</v>
      </c>
      <c r="E173" s="2">
        <f ca="1">IFERROR(__xludf.DUMMYFUNCTION("""COMPUTED_VALUE"""),501)</f>
        <v>501</v>
      </c>
      <c r="F173" s="2">
        <f ca="1">IFERROR(__xludf.DUMMYFUNCTION("""COMPUTED_VALUE"""),133.6)</f>
        <v>133.6</v>
      </c>
      <c r="G173" s="2">
        <f ca="1">IFERROR(__xludf.DUMMYFUNCTION("""COMPUTED_VALUE"""),14)</f>
        <v>14</v>
      </c>
    </row>
    <row r="174" spans="1:7" ht="22.5" customHeight="1" x14ac:dyDescent="0.2">
      <c r="A174" s="2" t="str">
        <f ca="1">IFERROR(__xludf.DUMMYFUNCTION("""COMPUTED_VALUE"""),"2024-01-19")</f>
        <v>2024-01-19</v>
      </c>
      <c r="B174" s="10" t="str">
        <f ca="1">IFERROR(__xludf.DUMMYFUNCTION("""COMPUTED_VALUE"""),"Google")</f>
        <v>Google</v>
      </c>
      <c r="C174" s="10" t="str">
        <f ca="1">IFERROR(__xludf.DUMMYFUNCTION("""COMPUTED_VALUE"""),"Search_Brand_Terms")</f>
        <v>Search_Brand_Terms</v>
      </c>
      <c r="D174" s="2">
        <f ca="1">IFERROR(__xludf.DUMMYFUNCTION("""COMPUTED_VALUE"""),24567)</f>
        <v>24567</v>
      </c>
      <c r="E174" s="2">
        <f ca="1">IFERROR(__xludf.DUMMYFUNCTION("""COMPUTED_VALUE"""),1289)</f>
        <v>1289</v>
      </c>
      <c r="F174" s="2">
        <f ca="1">IFERROR(__xludf.DUMMYFUNCTION("""COMPUTED_VALUE"""),246.8)</f>
        <v>246.8</v>
      </c>
      <c r="G174" s="2">
        <f ca="1">IFERROR(__xludf.DUMMYFUNCTION("""COMPUTED_VALUE"""),48)</f>
        <v>48</v>
      </c>
    </row>
    <row r="175" spans="1:7" ht="22.5" customHeight="1" x14ac:dyDescent="0.2">
      <c r="A175" s="2" t="str">
        <f ca="1">IFERROR(__xludf.DUMMYFUNCTION("""COMPUTED_VALUE"""),"2024-01-19")</f>
        <v>2024-01-19</v>
      </c>
      <c r="B175" s="10" t="str">
        <f ca="1">IFERROR(__xludf.DUMMYFUNCTION("""COMPUTED_VALUE"""),"Google")</f>
        <v>Google</v>
      </c>
      <c r="C175" s="10" t="str">
        <f ca="1">IFERROR(__xludf.DUMMYFUNCTION("""COMPUTED_VALUE"""),"Search_Generic_Terms")</f>
        <v>Search_Generic_Terms</v>
      </c>
      <c r="D175" s="2">
        <f ca="1">IFERROR(__xludf.DUMMYFUNCTION("""COMPUTED_VALUE"""),44890)</f>
        <v>44890</v>
      </c>
      <c r="E175" s="2">
        <f ca="1">IFERROR(__xludf.DUMMYFUNCTION("""COMPUTED_VALUE"""),890)</f>
        <v>890</v>
      </c>
      <c r="F175" s="2">
        <f ca="1">IFERROR(__xludf.DUMMYFUNCTION("""COMPUTED_VALUE"""),574.7)</f>
        <v>574.70000000000005</v>
      </c>
      <c r="G175" s="2">
        <f ca="1">IFERROR(__xludf.DUMMYFUNCTION("""COMPUTED_VALUE"""),23)</f>
        <v>23</v>
      </c>
    </row>
    <row r="176" spans="1:7" ht="22.5" customHeight="1" x14ac:dyDescent="0.2">
      <c r="A176" s="2" t="str">
        <f ca="1">IFERROR(__xludf.DUMMYFUNCTION("""COMPUTED_VALUE"""),"2024-01-19")</f>
        <v>2024-01-19</v>
      </c>
      <c r="B176" s="10" t="str">
        <f ca="1">IFERROR(__xludf.DUMMYFUNCTION("""COMPUTED_VALUE"""),"Google")</f>
        <v>Google</v>
      </c>
      <c r="C176" s="10" t="str">
        <f ca="1">IFERROR(__xludf.DUMMYFUNCTION("""COMPUTED_VALUE"""),"Shopping_All_Products")</f>
        <v>Shopping_All_Products</v>
      </c>
      <c r="D176" s="2">
        <f ca="1">IFERROR(__xludf.DUMMYFUNCTION("""COMPUTED_VALUE"""),69234)</f>
        <v>69234</v>
      </c>
      <c r="E176" s="2">
        <f ca="1">IFERROR(__xludf.DUMMYFUNCTION("""COMPUTED_VALUE"""),2301)</f>
        <v>2301</v>
      </c>
      <c r="F176" s="2">
        <f ca="1">IFERROR(__xludf.DUMMYFUNCTION("""COMPUTED_VALUE"""),423.5)</f>
        <v>423.5</v>
      </c>
      <c r="G176" s="2">
        <f ca="1">IFERROR(__xludf.DUMMYFUNCTION("""COMPUTED_VALUE"""),67)</f>
        <v>67</v>
      </c>
    </row>
    <row r="177" spans="1:7" ht="22.5" customHeight="1" x14ac:dyDescent="0.2">
      <c r="A177" s="2" t="str">
        <f ca="1">IFERROR(__xludf.DUMMYFUNCTION("""COMPUTED_VALUE"""),"2024-01-19")</f>
        <v>2024-01-19</v>
      </c>
      <c r="B177" s="10" t="str">
        <f ca="1">IFERROR(__xludf.DUMMYFUNCTION("""COMPUTED_VALUE"""),"Google")</f>
        <v>Google</v>
      </c>
      <c r="C177" s="10" t="str">
        <f ca="1">IFERROR(__xludf.DUMMYFUNCTION("""COMPUTED_VALUE"""),"Display_Remarketing")</f>
        <v>Display_Remarketing</v>
      </c>
      <c r="D177" s="2">
        <f ca="1">IFERROR(__xludf.DUMMYFUNCTION("""COMPUTED_VALUE"""),131567)</f>
        <v>131567</v>
      </c>
      <c r="E177" s="2">
        <f ca="1">IFERROR(__xludf.DUMMYFUNCTION("""COMPUTED_VALUE"""),478)</f>
        <v>478</v>
      </c>
      <c r="F177" s="2">
        <f ca="1">IFERROR(__xludf.DUMMYFUNCTION("""COMPUTED_VALUE"""),129.4)</f>
        <v>129.4</v>
      </c>
      <c r="G177" s="2">
        <f ca="1">IFERROR(__xludf.DUMMYFUNCTION("""COMPUTED_VALUE"""),13)</f>
        <v>13</v>
      </c>
    </row>
    <row r="178" spans="1:7" ht="22.5" customHeight="1" x14ac:dyDescent="0.2">
      <c r="A178" s="2" t="str">
        <f ca="1">IFERROR(__xludf.DUMMYFUNCTION("""COMPUTED_VALUE"""),"2024-01-20")</f>
        <v>2024-01-20</v>
      </c>
      <c r="B178" s="10" t="str">
        <f ca="1">IFERROR(__xludf.DUMMYFUNCTION("""COMPUTED_VALUE"""),"Google")</f>
        <v>Google</v>
      </c>
      <c r="C178" s="10" t="str">
        <f ca="1">IFERROR(__xludf.DUMMYFUNCTION("""COMPUTED_VALUE"""),"Search_Brand_Terms")</f>
        <v>Search_Brand_Terms</v>
      </c>
      <c r="D178" s="2">
        <f ca="1">IFERROR(__xludf.DUMMYFUNCTION("""COMPUTED_VALUE"""),22345)</f>
        <v>22345</v>
      </c>
      <c r="E178" s="2">
        <f ca="1">IFERROR(__xludf.DUMMYFUNCTION("""COMPUTED_VALUE"""),1123)</f>
        <v>1123</v>
      </c>
      <c r="F178" s="2">
        <f ca="1">IFERROR(__xludf.DUMMYFUNCTION("""COMPUTED_VALUE"""),214.5)</f>
        <v>214.5</v>
      </c>
      <c r="G178" s="2">
        <f ca="1">IFERROR(__xludf.DUMMYFUNCTION("""COMPUTED_VALUE"""),42)</f>
        <v>42</v>
      </c>
    </row>
    <row r="179" spans="1:7" ht="22.5" customHeight="1" x14ac:dyDescent="0.2">
      <c r="A179" s="2" t="str">
        <f ca="1">IFERROR(__xludf.DUMMYFUNCTION("""COMPUTED_VALUE"""),"2024-01-20")</f>
        <v>2024-01-20</v>
      </c>
      <c r="B179" s="10" t="str">
        <f ca="1">IFERROR(__xludf.DUMMYFUNCTION("""COMPUTED_VALUE"""),"Google")</f>
        <v>Google</v>
      </c>
      <c r="C179" s="10" t="str">
        <f ca="1">IFERROR(__xludf.DUMMYFUNCTION("""COMPUTED_VALUE"""),"Search_Generic_Terms")</f>
        <v>Search_Generic_Terms</v>
      </c>
      <c r="D179" s="2">
        <f ca="1">IFERROR(__xludf.DUMMYFUNCTION("""COMPUTED_VALUE"""),40567)</f>
        <v>40567</v>
      </c>
      <c r="E179" s="2">
        <f ca="1">IFERROR(__xludf.DUMMYFUNCTION("""COMPUTED_VALUE"""),812)</f>
        <v>812</v>
      </c>
      <c r="F179" s="2">
        <f ca="1">IFERROR(__xludf.DUMMYFUNCTION("""COMPUTED_VALUE"""),520.4)</f>
        <v>520.4</v>
      </c>
      <c r="G179" s="2">
        <f ca="1">IFERROR(__xludf.DUMMYFUNCTION("""COMPUTED_VALUE"""),20)</f>
        <v>20</v>
      </c>
    </row>
    <row r="180" spans="1:7" ht="22.5" customHeight="1" x14ac:dyDescent="0.2">
      <c r="A180" s="2" t="str">
        <f ca="1">IFERROR(__xludf.DUMMYFUNCTION("""COMPUTED_VALUE"""),"2024-01-20")</f>
        <v>2024-01-20</v>
      </c>
      <c r="B180" s="10" t="str">
        <f ca="1">IFERROR(__xludf.DUMMYFUNCTION("""COMPUTED_VALUE"""),"Google")</f>
        <v>Google</v>
      </c>
      <c r="C180" s="10" t="str">
        <f ca="1">IFERROR(__xludf.DUMMYFUNCTION("""COMPUTED_VALUE"""),"Shopping_All_Products")</f>
        <v>Shopping_All_Products</v>
      </c>
      <c r="D180" s="2">
        <f ca="1">IFERROR(__xludf.DUMMYFUNCTION("""COMPUTED_VALUE"""),64890)</f>
        <v>64890</v>
      </c>
      <c r="E180" s="2">
        <f ca="1">IFERROR(__xludf.DUMMYFUNCTION("""COMPUTED_VALUE"""),2067)</f>
        <v>2067</v>
      </c>
      <c r="F180" s="2">
        <f ca="1">IFERROR(__xludf.DUMMYFUNCTION("""COMPUTED_VALUE"""),376.8)</f>
        <v>376.8</v>
      </c>
      <c r="G180" s="2">
        <f ca="1">IFERROR(__xludf.DUMMYFUNCTION("""COMPUTED_VALUE"""),59)</f>
        <v>59</v>
      </c>
    </row>
    <row r="181" spans="1:7" ht="22.5" customHeight="1" x14ac:dyDescent="0.2">
      <c r="A181" s="2" t="str">
        <f ca="1">IFERROR(__xludf.DUMMYFUNCTION("""COMPUTED_VALUE"""),"2024-01-20")</f>
        <v>2024-01-20</v>
      </c>
      <c r="B181" s="10" t="str">
        <f ca="1">IFERROR(__xludf.DUMMYFUNCTION("""COMPUTED_VALUE"""),"Google")</f>
        <v>Google</v>
      </c>
      <c r="C181" s="10" t="str">
        <f ca="1">IFERROR(__xludf.DUMMYFUNCTION("""COMPUTED_VALUE"""),"Display_Remarketing")</f>
        <v>Display_Remarketing</v>
      </c>
      <c r="D181" s="2">
        <f ca="1">IFERROR(__xludf.DUMMYFUNCTION("""COMPUTED_VALUE"""),124567)</f>
        <v>124567</v>
      </c>
      <c r="E181" s="2">
        <f ca="1">IFERROR(__xludf.DUMMYFUNCTION("""COMPUTED_VALUE"""),445)</f>
        <v>445</v>
      </c>
      <c r="F181" s="2">
        <f ca="1">IFERROR(__xludf.DUMMYFUNCTION("""COMPUTED_VALUE"""),122.3)</f>
        <v>122.3</v>
      </c>
      <c r="G181" s="2">
        <f ca="1">IFERROR(__xludf.DUMMYFUNCTION("""COMPUTED_VALUE"""),12)</f>
        <v>12</v>
      </c>
    </row>
    <row r="182" spans="1:7" ht="22.5" customHeight="1" x14ac:dyDescent="0.2">
      <c r="A182" s="2" t="str">
        <f ca="1">IFERROR(__xludf.DUMMYFUNCTION("""COMPUTED_VALUE"""),"2024-01-21")</f>
        <v>2024-01-21</v>
      </c>
      <c r="B182" s="10" t="str">
        <f ca="1">IFERROR(__xludf.DUMMYFUNCTION("""COMPUTED_VALUE"""),"Google")</f>
        <v>Google</v>
      </c>
      <c r="C182" s="10" t="str">
        <f ca="1">IFERROR(__xludf.DUMMYFUNCTION("""COMPUTED_VALUE"""),"Search_Brand_Terms")</f>
        <v>Search_Brand_Terms</v>
      </c>
      <c r="D182" s="2">
        <f ca="1">IFERROR(__xludf.DUMMYFUNCTION("""COMPUTED_VALUE"""),21567)</f>
        <v>21567</v>
      </c>
      <c r="E182" s="2">
        <f ca="1">IFERROR(__xludf.DUMMYFUNCTION("""COMPUTED_VALUE"""),1089)</f>
        <v>1089</v>
      </c>
      <c r="F182" s="2">
        <f ca="1">IFERROR(__xludf.DUMMYFUNCTION("""COMPUTED_VALUE"""),207.8)</f>
        <v>207.8</v>
      </c>
      <c r="G182" s="2">
        <f ca="1">IFERROR(__xludf.DUMMYFUNCTION("""COMPUTED_VALUE"""),41)</f>
        <v>41</v>
      </c>
    </row>
    <row r="183" spans="1:7" ht="22.5" customHeight="1" x14ac:dyDescent="0.2">
      <c r="A183" s="2" t="str">
        <f ca="1">IFERROR(__xludf.DUMMYFUNCTION("""COMPUTED_VALUE"""),"2024-01-21")</f>
        <v>2024-01-21</v>
      </c>
      <c r="B183" s="10" t="str">
        <f ca="1">IFERROR(__xludf.DUMMYFUNCTION("""COMPUTED_VALUE"""),"Google")</f>
        <v>Google</v>
      </c>
      <c r="C183" s="10" t="str">
        <f ca="1">IFERROR(__xludf.DUMMYFUNCTION("""COMPUTED_VALUE"""),"Search_Generic_Terms")</f>
        <v>Search_Generic_Terms</v>
      </c>
      <c r="D183" s="2">
        <f ca="1">IFERROR(__xludf.DUMMYFUNCTION("""COMPUTED_VALUE"""),38901)</f>
        <v>38901</v>
      </c>
      <c r="E183" s="2">
        <f ca="1">IFERROR(__xludf.DUMMYFUNCTION("""COMPUTED_VALUE"""),778)</f>
        <v>778</v>
      </c>
      <c r="F183" s="2">
        <f ca="1">IFERROR(__xludf.DUMMYFUNCTION("""COMPUTED_VALUE"""),498.7)</f>
        <v>498.7</v>
      </c>
      <c r="G183" s="2">
        <f ca="1">IFERROR(__xludf.DUMMYFUNCTION("""COMPUTED_VALUE"""),19)</f>
        <v>19</v>
      </c>
    </row>
    <row r="184" spans="1:7" ht="22.5" customHeight="1" x14ac:dyDescent="0.2">
      <c r="A184" s="2" t="str">
        <f ca="1">IFERROR(__xludf.DUMMYFUNCTION("""COMPUTED_VALUE"""),"2024-01-21")</f>
        <v>2024-01-21</v>
      </c>
      <c r="B184" s="10" t="str">
        <f ca="1">IFERROR(__xludf.DUMMYFUNCTION("""COMPUTED_VALUE"""),"Google")</f>
        <v>Google</v>
      </c>
      <c r="C184" s="10" t="str">
        <f ca="1">IFERROR(__xludf.DUMMYFUNCTION("""COMPUTED_VALUE"""),"Shopping_All_Products")</f>
        <v>Shopping_All_Products</v>
      </c>
      <c r="D184" s="2">
        <f ca="1">IFERROR(__xludf.DUMMYFUNCTION("""COMPUTED_VALUE"""),62345)</f>
        <v>62345</v>
      </c>
      <c r="E184" s="2">
        <f ca="1">IFERROR(__xludf.DUMMYFUNCTION("""COMPUTED_VALUE"""),1989)</f>
        <v>1989</v>
      </c>
      <c r="F184" s="2">
        <f ca="1">IFERROR(__xludf.DUMMYFUNCTION("""COMPUTED_VALUE"""),365.4)</f>
        <v>365.4</v>
      </c>
      <c r="G184" s="2">
        <f ca="1">IFERROR(__xludf.DUMMYFUNCTION("""COMPUTED_VALUE"""),57)</f>
        <v>57</v>
      </c>
    </row>
    <row r="185" spans="1:7" ht="22.5" customHeight="1" x14ac:dyDescent="0.2">
      <c r="A185" s="2" t="str">
        <f ca="1">IFERROR(__xludf.DUMMYFUNCTION("""COMPUTED_VALUE"""),"2024-01-21")</f>
        <v>2024-01-21</v>
      </c>
      <c r="B185" s="10" t="str">
        <f ca="1">IFERROR(__xludf.DUMMYFUNCTION("""COMPUTED_VALUE"""),"Google")</f>
        <v>Google</v>
      </c>
      <c r="C185" s="10" t="str">
        <f ca="1">IFERROR(__xludf.DUMMYFUNCTION("""COMPUTED_VALUE"""),"Display_Remarketing")</f>
        <v>Display_Remarketing</v>
      </c>
      <c r="D185" s="2">
        <f ca="1">IFERROR(__xludf.DUMMYFUNCTION("""COMPUTED_VALUE"""),118234)</f>
        <v>118234</v>
      </c>
      <c r="E185" s="2">
        <f ca="1">IFERROR(__xludf.DUMMYFUNCTION("""COMPUTED_VALUE"""),423)</f>
        <v>423</v>
      </c>
      <c r="F185" s="2">
        <f ca="1">IFERROR(__xludf.DUMMYFUNCTION("""COMPUTED_VALUE"""),116.2)</f>
        <v>116.2</v>
      </c>
      <c r="G185" s="2">
        <f ca="1">IFERROR(__xludf.DUMMYFUNCTION("""COMPUTED_VALUE"""),11)</f>
        <v>11</v>
      </c>
    </row>
    <row r="186" spans="1:7" ht="22.5" customHeight="1" x14ac:dyDescent="0.2">
      <c r="A186" s="2" t="str">
        <f ca="1">IFERROR(__xludf.DUMMYFUNCTION("""COMPUTED_VALUE"""),"2024-01-22")</f>
        <v>2024-01-22</v>
      </c>
      <c r="B186" s="10" t="str">
        <f ca="1">IFERROR(__xludf.DUMMYFUNCTION("""COMPUTED_VALUE"""),"Google")</f>
        <v>Google</v>
      </c>
      <c r="C186" s="10" t="str">
        <f ca="1">IFERROR(__xludf.DUMMYFUNCTION("""COMPUTED_VALUE"""),"Search_Brand_Terms")</f>
        <v>Search_Brand_Terms</v>
      </c>
      <c r="D186" s="2">
        <f ca="1">IFERROR(__xludf.DUMMYFUNCTION("""COMPUTED_VALUE"""),24234)</f>
        <v>24234</v>
      </c>
      <c r="E186" s="2">
        <f ca="1">IFERROR(__xludf.DUMMYFUNCTION("""COMPUTED_VALUE"""),1267)</f>
        <v>1267</v>
      </c>
      <c r="F186" s="2">
        <f ca="1">IFERROR(__xludf.DUMMYFUNCTION("""COMPUTED_VALUE"""),241.2)</f>
        <v>241.2</v>
      </c>
      <c r="G186" s="2">
        <f ca="1">IFERROR(__xludf.DUMMYFUNCTION("""COMPUTED_VALUE"""),47)</f>
        <v>47</v>
      </c>
    </row>
    <row r="187" spans="1:7" ht="22.5" customHeight="1" x14ac:dyDescent="0.2">
      <c r="A187" s="2" t="str">
        <f ca="1">IFERROR(__xludf.DUMMYFUNCTION("""COMPUTED_VALUE"""),"2024-01-22")</f>
        <v>2024-01-22</v>
      </c>
      <c r="B187" s="10" t="str">
        <f ca="1">IFERROR(__xludf.DUMMYFUNCTION("""COMPUTED_VALUE"""),"Google")</f>
        <v>Google</v>
      </c>
      <c r="C187" s="10" t="str">
        <f ca="1">IFERROR(__xludf.DUMMYFUNCTION("""COMPUTED_VALUE"""),"Search_Generic_Terms")</f>
        <v>Search_Generic_Terms</v>
      </c>
      <c r="D187" s="2">
        <f ca="1">IFERROR(__xludf.DUMMYFUNCTION("""COMPUTED_VALUE"""),42890)</f>
        <v>42890</v>
      </c>
      <c r="E187" s="2">
        <f ca="1">IFERROR(__xludf.DUMMYFUNCTION("""COMPUTED_VALUE"""),845)</f>
        <v>845</v>
      </c>
      <c r="F187" s="2">
        <f ca="1">IFERROR(__xludf.DUMMYFUNCTION("""COMPUTED_VALUE"""),549.3)</f>
        <v>549.29999999999995</v>
      </c>
      <c r="G187" s="2">
        <f ca="1">IFERROR(__xludf.DUMMYFUNCTION("""COMPUTED_VALUE"""),22)</f>
        <v>22</v>
      </c>
    </row>
    <row r="188" spans="1:7" ht="22.5" customHeight="1" x14ac:dyDescent="0.2">
      <c r="A188" s="2" t="str">
        <f ca="1">IFERROR(__xludf.DUMMYFUNCTION("""COMPUTED_VALUE"""),"2024-01-22")</f>
        <v>2024-01-22</v>
      </c>
      <c r="B188" s="10" t="str">
        <f ca="1">IFERROR(__xludf.DUMMYFUNCTION("""COMPUTED_VALUE"""),"Google")</f>
        <v>Google</v>
      </c>
      <c r="C188" s="10" t="str">
        <f ca="1">IFERROR(__xludf.DUMMYFUNCTION("""COMPUTED_VALUE"""),"Shopping_All_Products")</f>
        <v>Shopping_All_Products</v>
      </c>
      <c r="D188" s="2">
        <f ca="1">IFERROR(__xludf.DUMMYFUNCTION("""COMPUTED_VALUE"""),66789)</f>
        <v>66789</v>
      </c>
      <c r="E188" s="2">
        <f ca="1">IFERROR(__xludf.DUMMYFUNCTION("""COMPUTED_VALUE"""),2223)</f>
        <v>2223</v>
      </c>
      <c r="F188" s="2">
        <f ca="1">IFERROR(__xludf.DUMMYFUNCTION("""COMPUTED_VALUE"""),407.9)</f>
        <v>407.9</v>
      </c>
      <c r="G188" s="2">
        <f ca="1">IFERROR(__xludf.DUMMYFUNCTION("""COMPUTED_VALUE"""),64)</f>
        <v>64</v>
      </c>
    </row>
    <row r="189" spans="1:7" ht="22.5" customHeight="1" x14ac:dyDescent="0.2">
      <c r="A189" s="2" t="str">
        <f ca="1">IFERROR(__xludf.DUMMYFUNCTION("""COMPUTED_VALUE"""),"2024-01-22")</f>
        <v>2024-01-22</v>
      </c>
      <c r="B189" s="10" t="str">
        <f ca="1">IFERROR(__xludf.DUMMYFUNCTION("""COMPUTED_VALUE"""),"Google")</f>
        <v>Google</v>
      </c>
      <c r="C189" s="10" t="str">
        <f ca="1">IFERROR(__xludf.DUMMYFUNCTION("""COMPUTED_VALUE"""),"Display_Remarketing")</f>
        <v>Display_Remarketing</v>
      </c>
      <c r="D189" s="2">
        <f ca="1">IFERROR(__xludf.DUMMYFUNCTION("""COMPUTED_VALUE"""),127890)</f>
        <v>127890</v>
      </c>
      <c r="E189" s="2">
        <f ca="1">IFERROR(__xludf.DUMMYFUNCTION("""COMPUTED_VALUE"""),456)</f>
        <v>456</v>
      </c>
      <c r="F189" s="2">
        <f ca="1">IFERROR(__xludf.DUMMYFUNCTION("""COMPUTED_VALUE"""),125.6)</f>
        <v>125.6</v>
      </c>
      <c r="G189" s="2">
        <f ca="1">IFERROR(__xludf.DUMMYFUNCTION("""COMPUTED_VALUE"""),13)</f>
        <v>13</v>
      </c>
    </row>
    <row r="190" spans="1:7" ht="22.5" customHeight="1" x14ac:dyDescent="0.2">
      <c r="A190" s="2" t="str">
        <f ca="1">IFERROR(__xludf.DUMMYFUNCTION("""COMPUTED_VALUE"""),"2024-01-23")</f>
        <v>2024-01-23</v>
      </c>
      <c r="B190" s="10" t="str">
        <f ca="1">IFERROR(__xludf.DUMMYFUNCTION("""COMPUTED_VALUE"""),"Google")</f>
        <v>Google</v>
      </c>
      <c r="C190" s="10" t="str">
        <f ca="1">IFERROR(__xludf.DUMMYFUNCTION("""COMPUTED_VALUE"""),"Search_Brand_Terms")</f>
        <v>Search_Brand_Terms</v>
      </c>
      <c r="D190" s="2">
        <f ca="1">IFERROR(__xludf.DUMMYFUNCTION("""COMPUTED_VALUE"""),25678)</f>
        <v>25678</v>
      </c>
      <c r="E190" s="2">
        <f ca="1">IFERROR(__xludf.DUMMYFUNCTION("""COMPUTED_VALUE"""),1356)</f>
        <v>1356</v>
      </c>
      <c r="F190" s="2">
        <f ca="1">IFERROR(__xludf.DUMMYFUNCTION("""COMPUTED_VALUE"""),259.4)</f>
        <v>259.39999999999998</v>
      </c>
      <c r="G190" s="2">
        <f ca="1">IFERROR(__xludf.DUMMYFUNCTION("""COMPUTED_VALUE"""),51)</f>
        <v>51</v>
      </c>
    </row>
    <row r="191" spans="1:7" ht="22.5" customHeight="1" x14ac:dyDescent="0.2">
      <c r="A191" s="2" t="str">
        <f ca="1">IFERROR(__xludf.DUMMYFUNCTION("""COMPUTED_VALUE"""),"2024-01-23")</f>
        <v>2024-01-23</v>
      </c>
      <c r="B191" s="10" t="str">
        <f ca="1">IFERROR(__xludf.DUMMYFUNCTION("""COMPUTED_VALUE"""),"Google")</f>
        <v>Google</v>
      </c>
      <c r="C191" s="10" t="str">
        <f ca="1">IFERROR(__xludf.DUMMYFUNCTION("""COMPUTED_VALUE"""),"Search_Generic_Terms")</f>
        <v>Search_Generic_Terms</v>
      </c>
      <c r="D191" s="2">
        <f ca="1">IFERROR(__xludf.DUMMYFUNCTION("""COMPUTED_VALUE"""),45123)</f>
        <v>45123</v>
      </c>
      <c r="E191" s="2">
        <f ca="1">IFERROR(__xludf.DUMMYFUNCTION("""COMPUTED_VALUE"""),912)</f>
        <v>912</v>
      </c>
      <c r="F191" s="2">
        <f ca="1">IFERROR(__xludf.DUMMYFUNCTION("""COMPUTED_VALUE"""),577.8)</f>
        <v>577.79999999999995</v>
      </c>
      <c r="G191" s="2">
        <f ca="1">IFERROR(__xludf.DUMMYFUNCTION("""COMPUTED_VALUE"""),24)</f>
        <v>24</v>
      </c>
    </row>
    <row r="192" spans="1:7" ht="22.5" customHeight="1" x14ac:dyDescent="0.2">
      <c r="A192" s="2" t="str">
        <f ca="1">IFERROR(__xludf.DUMMYFUNCTION("""COMPUTED_VALUE"""),"2024-01-23")</f>
        <v>2024-01-23</v>
      </c>
      <c r="B192" s="10" t="str">
        <f ca="1">IFERROR(__xludf.DUMMYFUNCTION("""COMPUTED_VALUE"""),"Google")</f>
        <v>Google</v>
      </c>
      <c r="C192" s="10" t="str">
        <f ca="1">IFERROR(__xludf.DUMMYFUNCTION("""COMPUTED_VALUE"""),"Shopping_All_Products")</f>
        <v>Shopping_All_Products</v>
      </c>
      <c r="D192" s="2">
        <f ca="1">IFERROR(__xludf.DUMMYFUNCTION("""COMPUTED_VALUE"""),70234)</f>
        <v>70234</v>
      </c>
      <c r="E192" s="2">
        <f ca="1">IFERROR(__xludf.DUMMYFUNCTION("""COMPUTED_VALUE"""),2389)</f>
        <v>2389</v>
      </c>
      <c r="F192" s="2">
        <f ca="1">IFERROR(__xludf.DUMMYFUNCTION("""COMPUTED_VALUE"""),432.6)</f>
        <v>432.6</v>
      </c>
      <c r="G192" s="2">
        <f ca="1">IFERROR(__xludf.DUMMYFUNCTION("""COMPUTED_VALUE"""),69)</f>
        <v>69</v>
      </c>
    </row>
    <row r="193" spans="1:7" ht="22.5" customHeight="1" x14ac:dyDescent="0.2">
      <c r="A193" s="2" t="str">
        <f ca="1">IFERROR(__xludf.DUMMYFUNCTION("""COMPUTED_VALUE"""),"2024-01-23")</f>
        <v>2024-01-23</v>
      </c>
      <c r="B193" s="10" t="str">
        <f ca="1">IFERROR(__xludf.DUMMYFUNCTION("""COMPUTED_VALUE"""),"Google")</f>
        <v>Google</v>
      </c>
      <c r="C193" s="10" t="str">
        <f ca="1">IFERROR(__xludf.DUMMYFUNCTION("""COMPUTED_VALUE"""),"Display_Remarketing")</f>
        <v>Display_Remarketing</v>
      </c>
      <c r="D193" s="2">
        <f ca="1">IFERROR(__xludf.DUMMYFUNCTION("""COMPUTED_VALUE"""),133456)</f>
        <v>133456</v>
      </c>
      <c r="E193" s="2">
        <f ca="1">IFERROR(__xludf.DUMMYFUNCTION("""COMPUTED_VALUE"""),489)</f>
        <v>489</v>
      </c>
      <c r="F193" s="2">
        <f ca="1">IFERROR(__xludf.DUMMYFUNCTION("""COMPUTED_VALUE"""),131.2)</f>
        <v>131.19999999999999</v>
      </c>
      <c r="G193" s="2">
        <f ca="1">IFERROR(__xludf.DUMMYFUNCTION("""COMPUTED_VALUE"""),14)</f>
        <v>14</v>
      </c>
    </row>
    <row r="194" spans="1:7" ht="22.5" customHeight="1" x14ac:dyDescent="0.2">
      <c r="A194" s="2" t="str">
        <f ca="1">IFERROR(__xludf.DUMMYFUNCTION("""COMPUTED_VALUE"""),"2024-01-24")</f>
        <v>2024-01-24</v>
      </c>
      <c r="B194" s="10" t="str">
        <f ca="1">IFERROR(__xludf.DUMMYFUNCTION("""COMPUTED_VALUE"""),"Google")</f>
        <v>Google</v>
      </c>
      <c r="C194" s="10" t="str">
        <f ca="1">IFERROR(__xludf.DUMMYFUNCTION("""COMPUTED_VALUE"""),"Search_Brand_Terms")</f>
        <v>Search_Brand_Terms</v>
      </c>
      <c r="D194" s="2">
        <f ca="1">IFERROR(__xludf.DUMMYFUNCTION("""COMPUTED_VALUE"""),27123)</f>
        <v>27123</v>
      </c>
      <c r="E194" s="2">
        <f ca="1">IFERROR(__xludf.DUMMYFUNCTION("""COMPUTED_VALUE"""),1434)</f>
        <v>1434</v>
      </c>
      <c r="F194" s="2">
        <f ca="1">IFERROR(__xludf.DUMMYFUNCTION("""COMPUTED_VALUE"""),274.3)</f>
        <v>274.3</v>
      </c>
      <c r="G194" s="2">
        <f ca="1">IFERROR(__xludf.DUMMYFUNCTION("""COMPUTED_VALUE"""),55)</f>
        <v>55</v>
      </c>
    </row>
    <row r="195" spans="1:7" ht="22.5" customHeight="1" x14ac:dyDescent="0.2">
      <c r="A195" s="2" t="str">
        <f ca="1">IFERROR(__xludf.DUMMYFUNCTION("""COMPUTED_VALUE"""),"2024-01-24")</f>
        <v>2024-01-24</v>
      </c>
      <c r="B195" s="10" t="str">
        <f ca="1">IFERROR(__xludf.DUMMYFUNCTION("""COMPUTED_VALUE"""),"Google")</f>
        <v>Google</v>
      </c>
      <c r="C195" s="10" t="str">
        <f ca="1">IFERROR(__xludf.DUMMYFUNCTION("""COMPUTED_VALUE"""),"Search_Generic_Terms")</f>
        <v>Search_Generic_Terms</v>
      </c>
      <c r="D195" s="2">
        <f ca="1">IFERROR(__xludf.DUMMYFUNCTION("""COMPUTED_VALUE"""),47890)</f>
        <v>47890</v>
      </c>
      <c r="E195" s="2">
        <f ca="1">IFERROR(__xludf.DUMMYFUNCTION("""COMPUTED_VALUE"""),978)</f>
        <v>978</v>
      </c>
      <c r="F195" s="2">
        <f ca="1">IFERROR(__xludf.DUMMYFUNCTION("""COMPUTED_VALUE"""),613.5)</f>
        <v>613.5</v>
      </c>
      <c r="G195" s="2">
        <f ca="1">IFERROR(__xludf.DUMMYFUNCTION("""COMPUTED_VALUE"""),26)</f>
        <v>26</v>
      </c>
    </row>
    <row r="196" spans="1:7" ht="22.5" customHeight="1" x14ac:dyDescent="0.2">
      <c r="A196" s="2" t="str">
        <f ca="1">IFERROR(__xludf.DUMMYFUNCTION("""COMPUTED_VALUE"""),"2024-01-24")</f>
        <v>2024-01-24</v>
      </c>
      <c r="B196" s="10" t="str">
        <f ca="1">IFERROR(__xludf.DUMMYFUNCTION("""COMPUTED_VALUE"""),"Google")</f>
        <v>Google</v>
      </c>
      <c r="C196" s="10" t="str">
        <f ca="1">IFERROR(__xludf.DUMMYFUNCTION("""COMPUTED_VALUE"""),"Shopping_All_Products")</f>
        <v>Shopping_All_Products</v>
      </c>
      <c r="D196" s="2">
        <f ca="1">IFERROR(__xludf.DUMMYFUNCTION("""COMPUTED_VALUE"""),73456)</f>
        <v>73456</v>
      </c>
      <c r="E196" s="2">
        <f ca="1">IFERROR(__xludf.DUMMYFUNCTION("""COMPUTED_VALUE"""),2501)</f>
        <v>2501</v>
      </c>
      <c r="F196" s="2">
        <f ca="1">IFERROR(__xludf.DUMMYFUNCTION("""COMPUTED_VALUE"""),456.7)</f>
        <v>456.7</v>
      </c>
      <c r="G196" s="2">
        <f ca="1">IFERROR(__xludf.DUMMYFUNCTION("""COMPUTED_VALUE"""),73)</f>
        <v>73</v>
      </c>
    </row>
    <row r="197" spans="1:7" ht="22.5" customHeight="1" x14ac:dyDescent="0.2">
      <c r="A197" s="2" t="str">
        <f ca="1">IFERROR(__xludf.DUMMYFUNCTION("""COMPUTED_VALUE"""),"2024-01-24")</f>
        <v>2024-01-24</v>
      </c>
      <c r="B197" s="10" t="str">
        <f ca="1">IFERROR(__xludf.DUMMYFUNCTION("""COMPUTED_VALUE"""),"Google")</f>
        <v>Google</v>
      </c>
      <c r="C197" s="10" t="str">
        <f ca="1">IFERROR(__xludf.DUMMYFUNCTION("""COMPUTED_VALUE"""),"Display_Remarketing")</f>
        <v>Display_Remarketing</v>
      </c>
      <c r="D197" s="2">
        <f ca="1">IFERROR(__xludf.DUMMYFUNCTION("""COMPUTED_VALUE"""),139234)</f>
        <v>139234</v>
      </c>
      <c r="E197" s="2">
        <f ca="1">IFERROR(__xludf.DUMMYFUNCTION("""COMPUTED_VALUE"""),523)</f>
        <v>523</v>
      </c>
      <c r="F197" s="2">
        <f ca="1">IFERROR(__xludf.DUMMYFUNCTION("""COMPUTED_VALUE"""),136.8)</f>
        <v>136.80000000000001</v>
      </c>
      <c r="G197" s="2">
        <f ca="1">IFERROR(__xludf.DUMMYFUNCTION("""COMPUTED_VALUE"""),15)</f>
        <v>15</v>
      </c>
    </row>
    <row r="198" spans="1:7" ht="22.5" customHeight="1" x14ac:dyDescent="0.2">
      <c r="A198" s="2" t="str">
        <f ca="1">IFERROR(__xludf.DUMMYFUNCTION("""COMPUTED_VALUE"""),"2024-01-25")</f>
        <v>2024-01-25</v>
      </c>
      <c r="B198" s="10" t="str">
        <f ca="1">IFERROR(__xludf.DUMMYFUNCTION("""COMPUTED_VALUE"""),"Google")</f>
        <v>Google</v>
      </c>
      <c r="C198" s="10" t="str">
        <f ca="1">IFERROR(__xludf.DUMMYFUNCTION("""COMPUTED_VALUE"""),"Search_Brand_Terms")</f>
        <v>Search_Brand_Terms</v>
      </c>
      <c r="D198" s="2">
        <f ca="1">IFERROR(__xludf.DUMMYFUNCTION("""COMPUTED_VALUE"""),28234)</f>
        <v>28234</v>
      </c>
      <c r="E198" s="2">
        <f ca="1">IFERROR(__xludf.DUMMYFUNCTION("""COMPUTED_VALUE"""),1512)</f>
        <v>1512</v>
      </c>
      <c r="F198" s="2">
        <f ca="1">IFERROR(__xludf.DUMMYFUNCTION("""COMPUTED_VALUE"""),287.6)</f>
        <v>287.60000000000002</v>
      </c>
      <c r="G198" s="2">
        <f ca="1">IFERROR(__xludf.DUMMYFUNCTION("""COMPUTED_VALUE"""),58)</f>
        <v>58</v>
      </c>
    </row>
    <row r="199" spans="1:7" ht="22.5" customHeight="1" x14ac:dyDescent="0.2">
      <c r="A199" s="2" t="str">
        <f ca="1">IFERROR(__xludf.DUMMYFUNCTION("""COMPUTED_VALUE"""),"2024-01-25")</f>
        <v>2024-01-25</v>
      </c>
      <c r="B199" s="10" t="str">
        <f ca="1">IFERROR(__xludf.DUMMYFUNCTION("""COMPUTED_VALUE"""),"Google")</f>
        <v>Google</v>
      </c>
      <c r="C199" s="10" t="str">
        <f ca="1">IFERROR(__xludf.DUMMYFUNCTION("""COMPUTED_VALUE"""),"Search_Generic_Terms")</f>
        <v>Search_Generic_Terms</v>
      </c>
      <c r="D199" s="2">
        <f ca="1">IFERROR(__xludf.DUMMYFUNCTION("""COMPUTED_VALUE"""),49567)</f>
        <v>49567</v>
      </c>
      <c r="E199" s="2">
        <f ca="1">IFERROR(__xludf.DUMMYFUNCTION("""COMPUTED_VALUE"""),1012)</f>
        <v>1012</v>
      </c>
      <c r="F199" s="2">
        <f ca="1">IFERROR(__xludf.DUMMYFUNCTION("""COMPUTED_VALUE"""),634.2)</f>
        <v>634.20000000000005</v>
      </c>
      <c r="G199" s="2">
        <f ca="1">IFERROR(__xludf.DUMMYFUNCTION("""COMPUTED_VALUE"""),27)</f>
        <v>27</v>
      </c>
    </row>
    <row r="200" spans="1:7" ht="22.5" customHeight="1" x14ac:dyDescent="0.2">
      <c r="A200" s="2" t="str">
        <f ca="1">IFERROR(__xludf.DUMMYFUNCTION("""COMPUTED_VALUE"""),"2024-01-25")</f>
        <v>2024-01-25</v>
      </c>
      <c r="B200" s="10" t="str">
        <f ca="1">IFERROR(__xludf.DUMMYFUNCTION("""COMPUTED_VALUE"""),"Google")</f>
        <v>Google</v>
      </c>
      <c r="C200" s="10" t="str">
        <f ca="1">IFERROR(__xludf.DUMMYFUNCTION("""COMPUTED_VALUE"""),"Shopping_All_Products")</f>
        <v>Shopping_All_Products</v>
      </c>
      <c r="D200" s="2">
        <f ca="1">IFERROR(__xludf.DUMMYFUNCTION("""COMPUTED_VALUE"""),75234)</f>
        <v>75234</v>
      </c>
      <c r="E200" s="2">
        <f ca="1">IFERROR(__xludf.DUMMYFUNCTION("""COMPUTED_VALUE"""),2567)</f>
        <v>2567</v>
      </c>
      <c r="F200" s="2">
        <f ca="1">IFERROR(__xludf.DUMMYFUNCTION("""COMPUTED_VALUE"""),467.8)</f>
        <v>467.8</v>
      </c>
      <c r="G200" s="2">
        <f ca="1">IFERROR(__xludf.DUMMYFUNCTION("""COMPUTED_VALUE"""),75)</f>
        <v>75</v>
      </c>
    </row>
    <row r="201" spans="1:7" ht="22.5" customHeight="1" x14ac:dyDescent="0.2">
      <c r="A201" s="2" t="str">
        <f ca="1">IFERROR(__xludf.DUMMYFUNCTION("""COMPUTED_VALUE"""),"2024-01-25")</f>
        <v>2024-01-25</v>
      </c>
      <c r="B201" s="10" t="str">
        <f ca="1">IFERROR(__xludf.DUMMYFUNCTION("""COMPUTED_VALUE"""),"Google")</f>
        <v>Google</v>
      </c>
      <c r="C201" s="10" t="str">
        <f ca="1">IFERROR(__xludf.DUMMYFUNCTION("""COMPUTED_VALUE"""),"Display_Remarketing")</f>
        <v>Display_Remarketing</v>
      </c>
      <c r="D201" s="2">
        <f ca="1">IFERROR(__xludf.DUMMYFUNCTION("""COMPUTED_VALUE"""),142345)</f>
        <v>142345</v>
      </c>
      <c r="E201" s="2">
        <f ca="1">IFERROR(__xludf.DUMMYFUNCTION("""COMPUTED_VALUE"""),545)</f>
        <v>545</v>
      </c>
      <c r="F201" s="2">
        <f ca="1">IFERROR(__xludf.DUMMYFUNCTION("""COMPUTED_VALUE"""),139.9)</f>
        <v>139.9</v>
      </c>
      <c r="G201" s="2">
        <f ca="1">IFERROR(__xludf.DUMMYFUNCTION("""COMPUTED_VALUE"""),16)</f>
        <v>16</v>
      </c>
    </row>
    <row r="202" spans="1:7" ht="22.5" customHeight="1" x14ac:dyDescent="0.2">
      <c r="A202" s="2" t="str">
        <f ca="1">IFERROR(__xludf.DUMMYFUNCTION("""COMPUTED_VALUE"""),"2024-01-26")</f>
        <v>2024-01-26</v>
      </c>
      <c r="B202" s="10" t="str">
        <f ca="1">IFERROR(__xludf.DUMMYFUNCTION("""COMPUTED_VALUE"""),"Google")</f>
        <v>Google</v>
      </c>
      <c r="C202" s="10" t="str">
        <f ca="1">IFERROR(__xludf.DUMMYFUNCTION("""COMPUTED_VALUE"""),"Search_Brand_Terms")</f>
        <v>Search_Brand_Terms</v>
      </c>
      <c r="D202" s="2">
        <f ca="1">IFERROR(__xludf.DUMMYFUNCTION("""COMPUTED_VALUE"""),26789)</f>
        <v>26789</v>
      </c>
      <c r="E202" s="2">
        <f ca="1">IFERROR(__xludf.DUMMYFUNCTION("""COMPUTED_VALUE"""),1378)</f>
        <v>1378</v>
      </c>
      <c r="F202" s="2">
        <f ca="1">IFERROR(__xludf.DUMMYFUNCTION("""COMPUTED_VALUE"""),263.4)</f>
        <v>263.39999999999998</v>
      </c>
      <c r="G202" s="2">
        <f ca="1">IFERROR(__xludf.DUMMYFUNCTION("""COMPUTED_VALUE"""),53)</f>
        <v>53</v>
      </c>
    </row>
    <row r="203" spans="1:7" ht="22.5" customHeight="1" x14ac:dyDescent="0.2">
      <c r="A203" s="2" t="str">
        <f ca="1">IFERROR(__xludf.DUMMYFUNCTION("""COMPUTED_VALUE"""),"2024-01-26")</f>
        <v>2024-01-26</v>
      </c>
      <c r="B203" s="10" t="str">
        <f ca="1">IFERROR(__xludf.DUMMYFUNCTION("""COMPUTED_VALUE"""),"Google")</f>
        <v>Google</v>
      </c>
      <c r="C203" s="10" t="str">
        <f ca="1">IFERROR(__xludf.DUMMYFUNCTION("""COMPUTED_VALUE"""),"Search_Generic_Terms")</f>
        <v>Search_Generic_Terms</v>
      </c>
      <c r="D203" s="2">
        <f ca="1">IFERROR(__xludf.DUMMYFUNCTION("""COMPUTED_VALUE"""),47234)</f>
        <v>47234</v>
      </c>
      <c r="E203" s="2">
        <f ca="1">IFERROR(__xludf.DUMMYFUNCTION("""COMPUTED_VALUE"""),945)</f>
        <v>945</v>
      </c>
      <c r="F203" s="2">
        <f ca="1">IFERROR(__xludf.DUMMYFUNCTION("""COMPUTED_VALUE"""),605.6)</f>
        <v>605.6</v>
      </c>
      <c r="G203" s="2">
        <f ca="1">IFERROR(__xludf.DUMMYFUNCTION("""COMPUTED_VALUE"""),25)</f>
        <v>25</v>
      </c>
    </row>
    <row r="204" spans="1:7" ht="22.5" customHeight="1" x14ac:dyDescent="0.2">
      <c r="A204" s="2" t="str">
        <f ca="1">IFERROR(__xludf.DUMMYFUNCTION("""COMPUTED_VALUE"""),"2024-01-26")</f>
        <v>2024-01-26</v>
      </c>
      <c r="B204" s="10" t="str">
        <f ca="1">IFERROR(__xludf.DUMMYFUNCTION("""COMPUTED_VALUE"""),"Google")</f>
        <v>Google</v>
      </c>
      <c r="C204" s="10" t="str">
        <f ca="1">IFERROR(__xludf.DUMMYFUNCTION("""COMPUTED_VALUE"""),"Shopping_All_Products")</f>
        <v>Shopping_All_Products</v>
      </c>
      <c r="D204" s="2">
        <f ca="1">IFERROR(__xludf.DUMMYFUNCTION("""COMPUTED_VALUE"""),72890)</f>
        <v>72890</v>
      </c>
      <c r="E204" s="2">
        <f ca="1">IFERROR(__xludf.DUMMYFUNCTION("""COMPUTED_VALUE"""),2434)</f>
        <v>2434</v>
      </c>
      <c r="F204" s="2">
        <f ca="1">IFERROR(__xludf.DUMMYFUNCTION("""COMPUTED_VALUE"""),450.2)</f>
        <v>450.2</v>
      </c>
      <c r="G204" s="2">
        <f ca="1">IFERROR(__xludf.DUMMYFUNCTION("""COMPUTED_VALUE"""),71)</f>
        <v>71</v>
      </c>
    </row>
    <row r="205" spans="1:7" ht="22.5" customHeight="1" x14ac:dyDescent="0.2">
      <c r="A205" s="2" t="str">
        <f ca="1">IFERROR(__xludf.DUMMYFUNCTION("""COMPUTED_VALUE"""),"2024-01-26")</f>
        <v>2024-01-26</v>
      </c>
      <c r="B205" s="10" t="str">
        <f ca="1">IFERROR(__xludf.DUMMYFUNCTION("""COMPUTED_VALUE"""),"Google")</f>
        <v>Google</v>
      </c>
      <c r="C205" s="10" t="str">
        <f ca="1">IFERROR(__xludf.DUMMYFUNCTION("""COMPUTED_VALUE"""),"Display_Remarketing")</f>
        <v>Display_Remarketing</v>
      </c>
      <c r="D205" s="2">
        <f ca="1">IFERROR(__xludf.DUMMYFUNCTION("""COMPUTED_VALUE"""),138567)</f>
        <v>138567</v>
      </c>
      <c r="E205" s="2">
        <f ca="1">IFERROR(__xludf.DUMMYFUNCTION("""COMPUTED_VALUE"""),512)</f>
        <v>512</v>
      </c>
      <c r="F205" s="2">
        <f ca="1">IFERROR(__xludf.DUMMYFUNCTION("""COMPUTED_VALUE"""),136.2)</f>
        <v>136.19999999999999</v>
      </c>
      <c r="G205" s="2">
        <f ca="1">IFERROR(__xludf.DUMMYFUNCTION("""COMPUTED_VALUE"""),15)</f>
        <v>15</v>
      </c>
    </row>
    <row r="206" spans="1:7" ht="22.5" customHeight="1" x14ac:dyDescent="0.2">
      <c r="A206" s="2" t="str">
        <f ca="1">IFERROR(__xludf.DUMMYFUNCTION("""COMPUTED_VALUE"""),"2024-01-27")</f>
        <v>2024-01-27</v>
      </c>
      <c r="B206" s="10" t="str">
        <f ca="1">IFERROR(__xludf.DUMMYFUNCTION("""COMPUTED_VALUE"""),"Google")</f>
        <v>Google</v>
      </c>
      <c r="C206" s="10" t="str">
        <f ca="1">IFERROR(__xludf.DUMMYFUNCTION("""COMPUTED_VALUE"""),"Search_Brand_Terms")</f>
        <v>Search_Brand_Terms</v>
      </c>
      <c r="D206" s="2">
        <f ca="1">IFERROR(__xludf.DUMMYFUNCTION("""COMPUTED_VALUE"""),25234)</f>
        <v>25234</v>
      </c>
      <c r="E206" s="2">
        <f ca="1">IFERROR(__xludf.DUMMYFUNCTION("""COMPUTED_VALUE"""),1312)</f>
        <v>1312</v>
      </c>
      <c r="F206" s="2">
        <f ca="1">IFERROR(__xludf.DUMMYFUNCTION("""COMPUTED_VALUE"""),250.3)</f>
        <v>250.3</v>
      </c>
      <c r="G206" s="2">
        <f ca="1">IFERROR(__xludf.DUMMYFUNCTION("""COMPUTED_VALUE"""),49)</f>
        <v>49</v>
      </c>
    </row>
    <row r="207" spans="1:7" ht="22.5" customHeight="1" x14ac:dyDescent="0.2">
      <c r="A207" s="2" t="str">
        <f ca="1">IFERROR(__xludf.DUMMYFUNCTION("""COMPUTED_VALUE"""),"2024-01-27")</f>
        <v>2024-01-27</v>
      </c>
      <c r="B207" s="10" t="str">
        <f ca="1">IFERROR(__xludf.DUMMYFUNCTION("""COMPUTED_VALUE"""),"Google")</f>
        <v>Google</v>
      </c>
      <c r="C207" s="10" t="str">
        <f ca="1">IFERROR(__xludf.DUMMYFUNCTION("""COMPUTED_VALUE"""),"Search_Generic_Terms")</f>
        <v>Search_Generic_Terms</v>
      </c>
      <c r="D207" s="2">
        <f ca="1">IFERROR(__xludf.DUMMYFUNCTION("""COMPUTED_VALUE"""),45678)</f>
        <v>45678</v>
      </c>
      <c r="E207" s="2">
        <f ca="1">IFERROR(__xludf.DUMMYFUNCTION("""COMPUTED_VALUE"""),901)</f>
        <v>901</v>
      </c>
      <c r="F207" s="2">
        <f ca="1">IFERROR(__xludf.DUMMYFUNCTION("""COMPUTED_VALUE"""),584.5)</f>
        <v>584.5</v>
      </c>
      <c r="G207" s="2">
        <f ca="1">IFERROR(__xludf.DUMMYFUNCTION("""COMPUTED_VALUE"""),24)</f>
        <v>24</v>
      </c>
    </row>
    <row r="208" spans="1:7" ht="22.5" customHeight="1" x14ac:dyDescent="0.2">
      <c r="A208" s="2" t="str">
        <f ca="1">IFERROR(__xludf.DUMMYFUNCTION("""COMPUTED_VALUE"""),"2024-01-27")</f>
        <v>2024-01-27</v>
      </c>
      <c r="B208" s="10" t="str">
        <f ca="1">IFERROR(__xludf.DUMMYFUNCTION("""COMPUTED_VALUE"""),"Google")</f>
        <v>Google</v>
      </c>
      <c r="C208" s="10" t="str">
        <f ca="1">IFERROR(__xludf.DUMMYFUNCTION("""COMPUTED_VALUE"""),"Shopping_All_Products")</f>
        <v>Shopping_All_Products</v>
      </c>
      <c r="D208" s="2">
        <f ca="1">IFERROR(__xludf.DUMMYFUNCTION("""COMPUTED_VALUE"""),70123)</f>
        <v>70123</v>
      </c>
      <c r="E208" s="2">
        <f ca="1">IFERROR(__xludf.DUMMYFUNCTION("""COMPUTED_VALUE"""),2356)</f>
        <v>2356</v>
      </c>
      <c r="F208" s="2">
        <f ca="1">IFERROR(__xludf.DUMMYFUNCTION("""COMPUTED_VALUE"""),431.2)</f>
        <v>431.2</v>
      </c>
      <c r="G208" s="2">
        <f ca="1">IFERROR(__xludf.DUMMYFUNCTION("""COMPUTED_VALUE"""),68)</f>
        <v>68</v>
      </c>
    </row>
    <row r="209" spans="1:7" ht="22.5" customHeight="1" x14ac:dyDescent="0.2">
      <c r="A209" s="2" t="str">
        <f ca="1">IFERROR(__xludf.DUMMYFUNCTION("""COMPUTED_VALUE"""),"2024-01-27")</f>
        <v>2024-01-27</v>
      </c>
      <c r="B209" s="10" t="str">
        <f ca="1">IFERROR(__xludf.DUMMYFUNCTION("""COMPUTED_VALUE"""),"Google")</f>
        <v>Google</v>
      </c>
      <c r="C209" s="10" t="str">
        <f ca="1">IFERROR(__xludf.DUMMYFUNCTION("""COMPUTED_VALUE"""),"Display_Remarketing")</f>
        <v>Display_Remarketing</v>
      </c>
      <c r="D209" s="2">
        <f ca="1">IFERROR(__xludf.DUMMYFUNCTION("""COMPUTED_VALUE"""),134890)</f>
        <v>134890</v>
      </c>
      <c r="E209" s="2">
        <f ca="1">IFERROR(__xludf.DUMMYFUNCTION("""COMPUTED_VALUE"""),489)</f>
        <v>489</v>
      </c>
      <c r="F209" s="2">
        <f ca="1">IFERROR(__xludf.DUMMYFUNCTION("""COMPUTED_VALUE"""),132.7)</f>
        <v>132.69999999999999</v>
      </c>
      <c r="G209" s="2">
        <f ca="1">IFERROR(__xludf.DUMMYFUNCTION("""COMPUTED_VALUE"""),14)</f>
        <v>14</v>
      </c>
    </row>
    <row r="210" spans="1:7" ht="22.5" customHeight="1" x14ac:dyDescent="0.2">
      <c r="A210" s="2" t="str">
        <f ca="1">IFERROR(__xludf.DUMMYFUNCTION("""COMPUTED_VALUE"""),"2024-01-28")</f>
        <v>2024-01-28</v>
      </c>
      <c r="B210" s="10" t="str">
        <f ca="1">IFERROR(__xludf.DUMMYFUNCTION("""COMPUTED_VALUE"""),"Google")</f>
        <v>Google</v>
      </c>
      <c r="C210" s="10" t="str">
        <f ca="1">IFERROR(__xludf.DUMMYFUNCTION("""COMPUTED_VALUE"""),"Search_Brand_Terms")</f>
        <v>Search_Brand_Terms</v>
      </c>
      <c r="D210" s="2">
        <f ca="1">IFERROR(__xludf.DUMMYFUNCTION("""COMPUTED_VALUE"""),23567)</f>
        <v>23567</v>
      </c>
      <c r="E210" s="2">
        <f ca="1">IFERROR(__xludf.DUMMYFUNCTION("""COMPUTED_VALUE"""),1189)</f>
        <v>1189</v>
      </c>
      <c r="F210" s="2">
        <f ca="1">IFERROR(__xludf.DUMMYFUNCTION("""COMPUTED_VALUE"""),226.8)</f>
        <v>226.8</v>
      </c>
      <c r="G210" s="2">
        <f ca="1">IFERROR(__xludf.DUMMYFUNCTION("""COMPUTED_VALUE"""),44)</f>
        <v>44</v>
      </c>
    </row>
    <row r="211" spans="1:7" ht="22.5" customHeight="1" x14ac:dyDescent="0.2">
      <c r="A211" s="2" t="str">
        <f ca="1">IFERROR(__xludf.DUMMYFUNCTION("""COMPUTED_VALUE"""),"2024-01-28")</f>
        <v>2024-01-28</v>
      </c>
      <c r="B211" s="10" t="str">
        <f ca="1">IFERROR(__xludf.DUMMYFUNCTION("""COMPUTED_VALUE"""),"Google")</f>
        <v>Google</v>
      </c>
      <c r="C211" s="10" t="str">
        <f ca="1">IFERROR(__xludf.DUMMYFUNCTION("""COMPUTED_VALUE"""),"Search_Generic_Terms")</f>
        <v>Search_Generic_Terms</v>
      </c>
      <c r="D211" s="2">
        <f ca="1">IFERROR(__xludf.DUMMYFUNCTION("""COMPUTED_VALUE"""),42890)</f>
        <v>42890</v>
      </c>
      <c r="E211" s="2">
        <f ca="1">IFERROR(__xludf.DUMMYFUNCTION("""COMPUTED_VALUE"""),834)</f>
        <v>834</v>
      </c>
      <c r="F211" s="2">
        <f ca="1">IFERROR(__xludf.DUMMYFUNCTION("""COMPUTED_VALUE"""),549.3)</f>
        <v>549.29999999999995</v>
      </c>
      <c r="G211" s="2">
        <f ca="1">IFERROR(__xludf.DUMMYFUNCTION("""COMPUTED_VALUE"""),21)</f>
        <v>21</v>
      </c>
    </row>
    <row r="212" spans="1:7" ht="22.5" customHeight="1" x14ac:dyDescent="0.2">
      <c r="A212" s="2" t="str">
        <f ca="1">IFERROR(__xludf.DUMMYFUNCTION("""COMPUTED_VALUE"""),"2024-01-28")</f>
        <v>2024-01-28</v>
      </c>
      <c r="B212" s="10" t="str">
        <f ca="1">IFERROR(__xludf.DUMMYFUNCTION("""COMPUTED_VALUE"""),"Google")</f>
        <v>Google</v>
      </c>
      <c r="C212" s="10" t="str">
        <f ca="1">IFERROR(__xludf.DUMMYFUNCTION("""COMPUTED_VALUE"""),"Shopping_All_Products")</f>
        <v>Shopping_All_Products</v>
      </c>
      <c r="D212" s="2">
        <f ca="1">IFERROR(__xludf.DUMMYFUNCTION("""COMPUTED_VALUE"""),66234)</f>
        <v>66234</v>
      </c>
      <c r="E212" s="2">
        <f ca="1">IFERROR(__xludf.DUMMYFUNCTION("""COMPUTED_VALUE"""),2167)</f>
        <v>2167</v>
      </c>
      <c r="F212" s="2">
        <f ca="1">IFERROR(__xludf.DUMMYFUNCTION("""COMPUTED_VALUE"""),395.8)</f>
        <v>395.8</v>
      </c>
      <c r="G212" s="2">
        <f ca="1">IFERROR(__xludf.DUMMYFUNCTION("""COMPUTED_VALUE"""),61)</f>
        <v>61</v>
      </c>
    </row>
    <row r="213" spans="1:7" ht="22.5" customHeight="1" x14ac:dyDescent="0.2">
      <c r="A213" s="2" t="str">
        <f ca="1">IFERROR(__xludf.DUMMYFUNCTION("""COMPUTED_VALUE"""),"2024-01-28")</f>
        <v>2024-01-28</v>
      </c>
      <c r="B213" s="10" t="str">
        <f ca="1">IFERROR(__xludf.DUMMYFUNCTION("""COMPUTED_VALUE"""),"Google")</f>
        <v>Google</v>
      </c>
      <c r="C213" s="10" t="str">
        <f ca="1">IFERROR(__xludf.DUMMYFUNCTION("""COMPUTED_VALUE"""),"Display_Remarketing")</f>
        <v>Display_Remarketing</v>
      </c>
      <c r="D213" s="2">
        <f ca="1">IFERROR(__xludf.DUMMYFUNCTION("""COMPUTED_VALUE"""),127345)</f>
        <v>127345</v>
      </c>
      <c r="E213" s="2">
        <f ca="1">IFERROR(__xludf.DUMMYFUNCTION("""COMPUTED_VALUE"""),445)</f>
        <v>445</v>
      </c>
      <c r="F213" s="2">
        <f ca="1">IFERROR(__xludf.DUMMYFUNCTION("""COMPUTED_VALUE"""),125.1)</f>
        <v>125.1</v>
      </c>
      <c r="G213" s="2">
        <f ca="1">IFERROR(__xludf.DUMMYFUNCTION("""COMPUTED_VALUE"""),12)</f>
        <v>12</v>
      </c>
    </row>
    <row r="214" spans="1:7" ht="22.5" customHeight="1" x14ac:dyDescent="0.2">
      <c r="A214" s="2" t="str">
        <f ca="1">IFERROR(__xludf.DUMMYFUNCTION("""COMPUTED_VALUE"""),"2024-01-29")</f>
        <v>2024-01-29</v>
      </c>
      <c r="B214" s="10" t="str">
        <f ca="1">IFERROR(__xludf.DUMMYFUNCTION("""COMPUTED_VALUE"""),"Google")</f>
        <v>Google</v>
      </c>
      <c r="C214" s="10" t="str">
        <f ca="1">IFERROR(__xludf.DUMMYFUNCTION("""COMPUTED_VALUE"""),"Search_Brand_Terms")</f>
        <v>Search_Brand_Terms</v>
      </c>
      <c r="D214" s="2">
        <f ca="1">IFERROR(__xludf.DUMMYFUNCTION("""COMPUTED_VALUE"""),24890)</f>
        <v>24890</v>
      </c>
      <c r="E214" s="2">
        <f ca="1">IFERROR(__xludf.DUMMYFUNCTION("""COMPUTED_VALUE"""),1278)</f>
        <v>1278</v>
      </c>
      <c r="F214" s="2">
        <f ca="1">IFERROR(__xludf.DUMMYFUNCTION("""COMPUTED_VALUE"""),244.2)</f>
        <v>244.2</v>
      </c>
      <c r="G214" s="2">
        <f ca="1">IFERROR(__xludf.DUMMYFUNCTION("""COMPUTED_VALUE"""),47)</f>
        <v>47</v>
      </c>
    </row>
    <row r="215" spans="1:7" ht="22.5" customHeight="1" x14ac:dyDescent="0.2">
      <c r="A215" s="2" t="str">
        <f ca="1">IFERROR(__xludf.DUMMYFUNCTION("""COMPUTED_VALUE"""),"2024-01-29")</f>
        <v>2024-01-29</v>
      </c>
      <c r="B215" s="10" t="str">
        <f ca="1">IFERROR(__xludf.DUMMYFUNCTION("""COMPUTED_VALUE"""),"Google")</f>
        <v>Google</v>
      </c>
      <c r="C215" s="10" t="str">
        <f ca="1">IFERROR(__xludf.DUMMYFUNCTION("""COMPUTED_VALUE"""),"Search_Generic_Terms")</f>
        <v>Search_Generic_Terms</v>
      </c>
      <c r="D215" s="2">
        <f ca="1">IFERROR(__xludf.DUMMYFUNCTION("""COMPUTED_VALUE"""),44567)</f>
        <v>44567</v>
      </c>
      <c r="E215" s="2">
        <f ca="1">IFERROR(__xludf.DUMMYFUNCTION("""COMPUTED_VALUE"""),878)</f>
        <v>878</v>
      </c>
      <c r="F215" s="2">
        <f ca="1">IFERROR(__xludf.DUMMYFUNCTION("""COMPUTED_VALUE"""),570.8)</f>
        <v>570.79999999999995</v>
      </c>
      <c r="G215" s="2">
        <f ca="1">IFERROR(__xludf.DUMMYFUNCTION("""COMPUTED_VALUE"""),23)</f>
        <v>23</v>
      </c>
    </row>
    <row r="216" spans="1:7" ht="22.5" customHeight="1" x14ac:dyDescent="0.2">
      <c r="A216" s="2" t="str">
        <f ca="1">IFERROR(__xludf.DUMMYFUNCTION("""COMPUTED_VALUE"""),"2024-01-29")</f>
        <v>2024-01-29</v>
      </c>
      <c r="B216" s="10" t="str">
        <f ca="1">IFERROR(__xludf.DUMMYFUNCTION("""COMPUTED_VALUE"""),"Google")</f>
        <v>Google</v>
      </c>
      <c r="C216" s="10" t="str">
        <f ca="1">IFERROR(__xludf.DUMMYFUNCTION("""COMPUTED_VALUE"""),"Shopping_All_Products")</f>
        <v>Shopping_All_Products</v>
      </c>
      <c r="D216" s="2">
        <f ca="1">IFERROR(__xludf.DUMMYFUNCTION("""COMPUTED_VALUE"""),68456)</f>
        <v>68456</v>
      </c>
      <c r="E216" s="2">
        <f ca="1">IFERROR(__xludf.DUMMYFUNCTION("""COMPUTED_VALUE"""),2289)</f>
        <v>2289</v>
      </c>
      <c r="F216" s="2">
        <f ca="1">IFERROR(__xludf.DUMMYFUNCTION("""COMPUTED_VALUE"""),419.5)</f>
        <v>419.5</v>
      </c>
      <c r="G216" s="2">
        <f ca="1">IFERROR(__xludf.DUMMYFUNCTION("""COMPUTED_VALUE"""),66)</f>
        <v>66</v>
      </c>
    </row>
    <row r="217" spans="1:7" ht="22.5" customHeight="1" x14ac:dyDescent="0.2">
      <c r="A217" s="2" t="str">
        <f ca="1">IFERROR(__xludf.DUMMYFUNCTION("""COMPUTED_VALUE"""),"2024-01-29")</f>
        <v>2024-01-29</v>
      </c>
      <c r="B217" s="10" t="str">
        <f ca="1">IFERROR(__xludf.DUMMYFUNCTION("""COMPUTED_VALUE"""),"Google")</f>
        <v>Google</v>
      </c>
      <c r="C217" s="10" t="str">
        <f ca="1">IFERROR(__xludf.DUMMYFUNCTION("""COMPUTED_VALUE"""),"Display_Remarketing")</f>
        <v>Display_Remarketing</v>
      </c>
      <c r="D217" s="2">
        <f ca="1">IFERROR(__xludf.DUMMYFUNCTION("""COMPUTED_VALUE"""),131234)</f>
        <v>131234</v>
      </c>
      <c r="E217" s="2">
        <f ca="1">IFERROR(__xludf.DUMMYFUNCTION("""COMPUTED_VALUE"""),467)</f>
        <v>467</v>
      </c>
      <c r="F217" s="2">
        <f ca="1">IFERROR(__xludf.DUMMYFUNCTION("""COMPUTED_VALUE"""),128.9)</f>
        <v>128.9</v>
      </c>
      <c r="G217" s="2">
        <f ca="1">IFERROR(__xludf.DUMMYFUNCTION("""COMPUTED_VALUE"""),13)</f>
        <v>13</v>
      </c>
    </row>
    <row r="218" spans="1:7" ht="22.5" customHeight="1" x14ac:dyDescent="0.2">
      <c r="A218" s="2" t="str">
        <f ca="1">IFERROR(__xludf.DUMMYFUNCTION("""COMPUTED_VALUE"""),"2024-01-30")</f>
        <v>2024-01-30</v>
      </c>
      <c r="B218" s="10" t="str">
        <f ca="1">IFERROR(__xludf.DUMMYFUNCTION("""COMPUTED_VALUE"""),"Google")</f>
        <v>Google</v>
      </c>
      <c r="C218" s="10" t="str">
        <f ca="1">IFERROR(__xludf.DUMMYFUNCTION("""COMPUTED_VALUE"""),"Search_Brand_Terms")</f>
        <v>Search_Brand_Terms</v>
      </c>
      <c r="D218" s="2">
        <f ca="1">IFERROR(__xludf.DUMMYFUNCTION("""COMPUTED_VALUE"""),25456)</f>
        <v>25456</v>
      </c>
      <c r="E218" s="2">
        <f ca="1">IFERROR(__xludf.DUMMYFUNCTION("""COMPUTED_VALUE"""),1334)</f>
        <v>1334</v>
      </c>
      <c r="F218" s="2">
        <f ca="1">IFERROR(__xludf.DUMMYFUNCTION("""COMPUTED_VALUE"""),254.6)</f>
        <v>254.6</v>
      </c>
      <c r="G218" s="2">
        <f ca="1">IFERROR(__xludf.DUMMYFUNCTION("""COMPUTED_VALUE"""),50)</f>
        <v>50</v>
      </c>
    </row>
    <row r="219" spans="1:7" ht="22.5" customHeight="1" x14ac:dyDescent="0.2">
      <c r="A219" s="2" t="str">
        <f ca="1">IFERROR(__xludf.DUMMYFUNCTION("""COMPUTED_VALUE"""),"2024-01-30")</f>
        <v>2024-01-30</v>
      </c>
      <c r="B219" s="10" t="str">
        <f ca="1">IFERROR(__xludf.DUMMYFUNCTION("""COMPUTED_VALUE"""),"Google")</f>
        <v>Google</v>
      </c>
      <c r="C219" s="10" t="str">
        <f ca="1">IFERROR(__xludf.DUMMYFUNCTION("""COMPUTED_VALUE"""),"Search_Generic_Terms")</f>
        <v>Search_Generic_Terms</v>
      </c>
      <c r="D219" s="2">
        <f ca="1">IFERROR(__xludf.DUMMYFUNCTION("""COMPUTED_VALUE"""),45890)</f>
        <v>45890</v>
      </c>
      <c r="E219" s="2">
        <f ca="1">IFERROR(__xludf.DUMMYFUNCTION("""COMPUTED_VALUE"""),912)</f>
        <v>912</v>
      </c>
      <c r="F219" s="2">
        <f ca="1">IFERROR(__xludf.DUMMYFUNCTION("""COMPUTED_VALUE"""),587.7)</f>
        <v>587.70000000000005</v>
      </c>
      <c r="G219" s="2">
        <f ca="1">IFERROR(__xludf.DUMMYFUNCTION("""COMPUTED_VALUE"""),24)</f>
        <v>24</v>
      </c>
    </row>
    <row r="220" spans="1:7" ht="22.5" customHeight="1" x14ac:dyDescent="0.2">
      <c r="A220" s="2" t="str">
        <f ca="1">IFERROR(__xludf.DUMMYFUNCTION("""COMPUTED_VALUE"""),"2024-01-30")</f>
        <v>2024-01-30</v>
      </c>
      <c r="B220" s="10" t="str">
        <f ca="1">IFERROR(__xludf.DUMMYFUNCTION("""COMPUTED_VALUE"""),"Google")</f>
        <v>Google</v>
      </c>
      <c r="C220" s="10" t="str">
        <f ca="1">IFERROR(__xludf.DUMMYFUNCTION("""COMPUTED_VALUE"""),"Shopping_All_Products")</f>
        <v>Shopping_All_Products</v>
      </c>
      <c r="D220" s="2">
        <f ca="1">IFERROR(__xludf.DUMMYFUNCTION("""COMPUTED_VALUE"""),70234)</f>
        <v>70234</v>
      </c>
      <c r="E220" s="2">
        <f ca="1">IFERROR(__xludf.DUMMYFUNCTION("""COMPUTED_VALUE"""),2367)</f>
        <v>2367</v>
      </c>
      <c r="F220" s="2">
        <f ca="1">IFERROR(__xludf.DUMMYFUNCTION("""COMPUTED_VALUE"""),432.1)</f>
        <v>432.1</v>
      </c>
      <c r="G220" s="2">
        <f ca="1">IFERROR(__xludf.DUMMYFUNCTION("""COMPUTED_VALUE"""),68)</f>
        <v>68</v>
      </c>
    </row>
    <row r="221" spans="1:7" ht="22.5" customHeight="1" x14ac:dyDescent="0.2">
      <c r="A221" s="2" t="str">
        <f ca="1">IFERROR(__xludf.DUMMYFUNCTION("""COMPUTED_VALUE"""),"2024-01-30")</f>
        <v>2024-01-30</v>
      </c>
      <c r="B221" s="10" t="str">
        <f ca="1">IFERROR(__xludf.DUMMYFUNCTION("""COMPUTED_VALUE"""),"Google")</f>
        <v>Google</v>
      </c>
      <c r="C221" s="10" t="str">
        <f ca="1">IFERROR(__xludf.DUMMYFUNCTION("""COMPUTED_VALUE"""),"Display_Remarketing")</f>
        <v>Display_Remarketing</v>
      </c>
      <c r="D221" s="2">
        <f ca="1">IFERROR(__xludf.DUMMYFUNCTION("""COMPUTED_VALUE"""),133456)</f>
        <v>133456</v>
      </c>
      <c r="E221" s="2">
        <f ca="1">IFERROR(__xludf.DUMMYFUNCTION("""COMPUTED_VALUE"""),478)</f>
        <v>478</v>
      </c>
      <c r="F221" s="2">
        <f ca="1">IFERROR(__xludf.DUMMYFUNCTION("""COMPUTED_VALUE"""),131.2)</f>
        <v>131.19999999999999</v>
      </c>
      <c r="G221" s="2">
        <f ca="1">IFERROR(__xludf.DUMMYFUNCTION("""COMPUTED_VALUE"""),14)</f>
        <v>14</v>
      </c>
    </row>
    <row r="222" spans="1:7" ht="22.5" customHeight="1" x14ac:dyDescent="0.2">
      <c r="A222" s="2" t="str">
        <f ca="1">IFERROR(__xludf.DUMMYFUNCTION("""COMPUTED_VALUE"""),"2024-01-01")</f>
        <v>2024-01-01</v>
      </c>
      <c r="B222" s="10" t="str">
        <f ca="1">IFERROR(__xludf.DUMMYFUNCTION("""COMPUTED_VALUE"""),"TikTok")</f>
        <v>TikTok</v>
      </c>
      <c r="C222" s="10" t="str">
        <f ca="1">IFERROR(__xludf.DUMMYFUNCTION("""COMPUTED_VALUE"""),"Awareness_GenZ")</f>
        <v>Awareness_GenZ</v>
      </c>
      <c r="D222" s="2">
        <f ca="1">IFERROR(__xludf.DUMMYFUNCTION("""COMPUTED_VALUE"""),234567)</f>
        <v>234567</v>
      </c>
      <c r="E222" s="2">
        <f ca="1">IFERROR(__xludf.DUMMYFUNCTION("""COMPUTED_VALUE"""),3456)</f>
        <v>3456</v>
      </c>
      <c r="F222" s="2">
        <f ca="1">IFERROR(__xludf.DUMMYFUNCTION("""COMPUTED_VALUE"""),456.7)</f>
        <v>456.7</v>
      </c>
      <c r="G222" s="2">
        <f ca="1">IFERROR(__xludf.DUMMYFUNCTION("""COMPUTED_VALUE"""),34)</f>
        <v>34</v>
      </c>
    </row>
    <row r="223" spans="1:7" ht="22.5" customHeight="1" x14ac:dyDescent="0.2">
      <c r="A223" s="2" t="str">
        <f ca="1">IFERROR(__xludf.DUMMYFUNCTION("""COMPUTED_VALUE"""),"2024-01-01")</f>
        <v>2024-01-01</v>
      </c>
      <c r="B223" s="10" t="str">
        <f ca="1">IFERROR(__xludf.DUMMYFUNCTION("""COMPUTED_VALUE"""),"TikTok")</f>
        <v>TikTok</v>
      </c>
      <c r="C223" s="10" t="str">
        <f ca="1">IFERROR(__xludf.DUMMYFUNCTION("""COMPUTED_VALUE"""),"Conversion_Focus")</f>
        <v>Conversion_Focus</v>
      </c>
      <c r="D223" s="2">
        <f ca="1">IFERROR(__xludf.DUMMYFUNCTION("""COMPUTED_VALUE"""),123456)</f>
        <v>123456</v>
      </c>
      <c r="E223" s="2">
        <f ca="1">IFERROR(__xludf.DUMMYFUNCTION("""COMPUTED_VALUE"""),2345)</f>
        <v>2345</v>
      </c>
      <c r="F223" s="2">
        <f ca="1">IFERROR(__xludf.DUMMYFUNCTION("""COMPUTED_VALUE"""),678.9)</f>
        <v>678.9</v>
      </c>
      <c r="G223" s="2">
        <f ca="1">IFERROR(__xludf.DUMMYFUNCTION("""COMPUTED_VALUE"""),67)</f>
        <v>67</v>
      </c>
    </row>
    <row r="224" spans="1:7" ht="22.5" customHeight="1" x14ac:dyDescent="0.2">
      <c r="A224" s="2" t="str">
        <f ca="1">IFERROR(__xludf.DUMMYFUNCTION("""COMPUTED_VALUE"""),"2024-01-01")</f>
        <v>2024-01-01</v>
      </c>
      <c r="B224" s="10" t="str">
        <f ca="1">IFERROR(__xludf.DUMMYFUNCTION("""COMPUTED_VALUE"""),"TikTok")</f>
        <v>TikTok</v>
      </c>
      <c r="C224" s="10" t="str">
        <f ca="1">IFERROR(__xludf.DUMMYFUNCTION("""COMPUTED_VALUE"""),"Traffic_Campaign")</f>
        <v>Traffic_Campaign</v>
      </c>
      <c r="D224" s="2">
        <f ca="1">IFERROR(__xludf.DUMMYFUNCTION("""COMPUTED_VALUE"""),189234)</f>
        <v>189234</v>
      </c>
      <c r="E224" s="2">
        <f ca="1">IFERROR(__xludf.DUMMYFUNCTION("""COMPUTED_VALUE"""),2890)</f>
        <v>2890</v>
      </c>
      <c r="F224" s="2">
        <f ca="1">IFERROR(__xludf.DUMMYFUNCTION("""COMPUTED_VALUE"""),345.6)</f>
        <v>345.6</v>
      </c>
      <c r="G224" s="2">
        <f ca="1">IFERROR(__xludf.DUMMYFUNCTION("""COMPUTED_VALUE"""),23)</f>
        <v>23</v>
      </c>
    </row>
    <row r="225" spans="1:7" ht="22.5" customHeight="1" x14ac:dyDescent="0.2">
      <c r="A225" s="2" t="str">
        <f ca="1">IFERROR(__xludf.DUMMYFUNCTION("""COMPUTED_VALUE"""),"2024-01-02")</f>
        <v>2024-01-02</v>
      </c>
      <c r="B225" s="10" t="str">
        <f ca="1">IFERROR(__xludf.DUMMYFUNCTION("""COMPUTED_VALUE"""),"TikTok")</f>
        <v>TikTok</v>
      </c>
      <c r="C225" s="10" t="str">
        <f ca="1">IFERROR(__xludf.DUMMYFUNCTION("""COMPUTED_VALUE"""),"Awareness_GenZ")</f>
        <v>Awareness_GenZ</v>
      </c>
      <c r="D225" s="2">
        <f ca="1">IFERROR(__xludf.DUMMYFUNCTION("""COMPUTED_VALUE"""),245678)</f>
        <v>245678</v>
      </c>
      <c r="E225" s="2">
        <f ca="1">IFERROR(__xludf.DUMMYFUNCTION("""COMPUTED_VALUE"""),3678)</f>
        <v>3678</v>
      </c>
      <c r="F225" s="2">
        <f ca="1">IFERROR(__xludf.DUMMYFUNCTION("""COMPUTED_VALUE"""),478.9)</f>
        <v>478.9</v>
      </c>
      <c r="G225" s="2">
        <f ca="1">IFERROR(__xludf.DUMMYFUNCTION("""COMPUTED_VALUE"""),36)</f>
        <v>36</v>
      </c>
    </row>
    <row r="226" spans="1:7" ht="22.5" customHeight="1" x14ac:dyDescent="0.2">
      <c r="A226" s="2" t="str">
        <f ca="1">IFERROR(__xludf.DUMMYFUNCTION("""COMPUTED_VALUE"""),"2024-01-02")</f>
        <v>2024-01-02</v>
      </c>
      <c r="B226" s="10" t="str">
        <f ca="1">IFERROR(__xludf.DUMMYFUNCTION("""COMPUTED_VALUE"""),"TikTok")</f>
        <v>TikTok</v>
      </c>
      <c r="C226" s="10" t="str">
        <f ca="1">IFERROR(__xludf.DUMMYFUNCTION("""COMPUTED_VALUE"""),"Conversion_Focus")</f>
        <v>Conversion_Focus</v>
      </c>
      <c r="D226" s="2">
        <f ca="1">IFERROR(__xludf.DUMMYFUNCTION("""COMPUTED_VALUE"""),134567)</f>
        <v>134567</v>
      </c>
      <c r="E226" s="2">
        <f ca="1">IFERROR(__xludf.DUMMYFUNCTION("""COMPUTED_VALUE"""),2567)</f>
        <v>2567</v>
      </c>
      <c r="F226" s="2">
        <f ca="1">IFERROR(__xludf.DUMMYFUNCTION("""COMPUTED_VALUE"""),712.3)</f>
        <v>712.3</v>
      </c>
      <c r="G226" s="2">
        <f ca="1">IFERROR(__xludf.DUMMYFUNCTION("""COMPUTED_VALUE"""),71)</f>
        <v>71</v>
      </c>
    </row>
    <row r="227" spans="1:7" ht="22.5" customHeight="1" x14ac:dyDescent="0.2">
      <c r="A227" s="2" t="str">
        <f ca="1">IFERROR(__xludf.DUMMYFUNCTION("""COMPUTED_VALUE"""),"2024-01-02")</f>
        <v>2024-01-02</v>
      </c>
      <c r="B227" s="10" t="str">
        <f ca="1">IFERROR(__xludf.DUMMYFUNCTION("""COMPUTED_VALUE"""),"TikTok")</f>
        <v>TikTok</v>
      </c>
      <c r="C227" s="10" t="str">
        <f ca="1">IFERROR(__xludf.DUMMYFUNCTION("""COMPUTED_VALUE"""),"Traffic_Campaign")</f>
        <v>Traffic_Campaign</v>
      </c>
      <c r="D227" s="2">
        <f ca="1">IFERROR(__xludf.DUMMYFUNCTION("""COMPUTED_VALUE"""),198345)</f>
        <v>198345</v>
      </c>
      <c r="E227" s="2">
        <f ca="1">IFERROR(__xludf.DUMMYFUNCTION("""COMPUTED_VALUE"""),3012)</f>
        <v>3012</v>
      </c>
      <c r="F227" s="2">
        <f ca="1">IFERROR(__xludf.DUMMYFUNCTION("""COMPUTED_VALUE"""),361.2)</f>
        <v>361.2</v>
      </c>
      <c r="G227" s="2">
        <f ca="1">IFERROR(__xludf.DUMMYFUNCTION("""COMPUTED_VALUE"""),25)</f>
        <v>25</v>
      </c>
    </row>
    <row r="228" spans="1:7" ht="22.5" customHeight="1" x14ac:dyDescent="0.2">
      <c r="A228" s="2" t="str">
        <f ca="1">IFERROR(__xludf.DUMMYFUNCTION("""COMPUTED_VALUE"""),"2024-01-03")</f>
        <v>2024-01-03</v>
      </c>
      <c r="B228" s="10" t="str">
        <f ca="1">IFERROR(__xludf.DUMMYFUNCTION("""COMPUTED_VALUE"""),"TikTok")</f>
        <v>TikTok</v>
      </c>
      <c r="C228" s="10" t="str">
        <f ca="1">IFERROR(__xludf.DUMMYFUNCTION("""COMPUTED_VALUE"""),"Awareness_GenZ")</f>
        <v>Awareness_GenZ</v>
      </c>
      <c r="D228" s="2">
        <f ca="1">IFERROR(__xludf.DUMMYFUNCTION("""COMPUTED_VALUE"""),223456)</f>
        <v>223456</v>
      </c>
      <c r="E228" s="2">
        <f ca="1">IFERROR(__xludf.DUMMYFUNCTION("""COMPUTED_VALUE"""),3234)</f>
        <v>3234</v>
      </c>
      <c r="F228" s="2">
        <f ca="1">IFERROR(__xludf.DUMMYFUNCTION("""COMPUTED_VALUE"""),434.5)</f>
        <v>434.5</v>
      </c>
      <c r="G228" s="2">
        <f ca="1">IFERROR(__xludf.DUMMYFUNCTION("""COMPUTED_VALUE"""),32)</f>
        <v>32</v>
      </c>
    </row>
    <row r="229" spans="1:7" ht="22.5" customHeight="1" x14ac:dyDescent="0.2">
      <c r="A229" s="2" t="str">
        <f ca="1">IFERROR(__xludf.DUMMYFUNCTION("""COMPUTED_VALUE"""),"2024-01-03")</f>
        <v>2024-01-03</v>
      </c>
      <c r="B229" s="10" t="str">
        <f ca="1">IFERROR(__xludf.DUMMYFUNCTION("""COMPUTED_VALUE"""),"TikTok")</f>
        <v>TikTok</v>
      </c>
      <c r="C229" s="10" t="str">
        <f ca="1">IFERROR(__xludf.DUMMYFUNCTION("""COMPUTED_VALUE"""),"Conversion_Focus")</f>
        <v>Conversion_Focus</v>
      </c>
      <c r="D229" s="2">
        <f ca="1">IFERROR(__xludf.DUMMYFUNCTION("""COMPUTED_VALUE"""),112345)</f>
        <v>112345</v>
      </c>
      <c r="E229" s="2">
        <f ca="1">IFERROR(__xludf.DUMMYFUNCTION("""COMPUTED_VALUE"""),2123)</f>
        <v>2123</v>
      </c>
      <c r="F229" s="2">
        <f ca="1">IFERROR(__xludf.DUMMYFUNCTION("""COMPUTED_VALUE"""),623.4)</f>
        <v>623.4</v>
      </c>
      <c r="G229" s="2">
        <f ca="1">IFERROR(__xludf.DUMMYFUNCTION("""COMPUTED_VALUE"""),62)</f>
        <v>62</v>
      </c>
    </row>
    <row r="230" spans="1:7" ht="22.5" customHeight="1" x14ac:dyDescent="0.2">
      <c r="A230" s="2" t="str">
        <f ca="1">IFERROR(__xludf.DUMMYFUNCTION("""COMPUTED_VALUE"""),"2024-01-03")</f>
        <v>2024-01-03</v>
      </c>
      <c r="B230" s="10" t="str">
        <f ca="1">IFERROR(__xludf.DUMMYFUNCTION("""COMPUTED_VALUE"""),"TikTok")</f>
        <v>TikTok</v>
      </c>
      <c r="C230" s="10" t="str">
        <f ca="1">IFERROR(__xludf.DUMMYFUNCTION("""COMPUTED_VALUE"""),"Influencer_Collab")</f>
        <v>Influencer_Collab</v>
      </c>
      <c r="D230" s="2">
        <f ca="1">IFERROR(__xludf.DUMMYFUNCTION("""COMPUTED_VALUE"""),345678)</f>
        <v>345678</v>
      </c>
      <c r="E230" s="2">
        <f ca="1">IFERROR(__xludf.DUMMYFUNCTION("""COMPUTED_VALUE"""),5678)</f>
        <v>5678</v>
      </c>
      <c r="F230" s="2">
        <f ca="1">IFERROR(__xludf.DUMMYFUNCTION("""COMPUTED_VALUE"""),890.1)</f>
        <v>890.1</v>
      </c>
      <c r="G230" s="2">
        <f ca="1">IFERROR(__xludf.DUMMYFUNCTION("""COMPUTED_VALUE"""),89)</f>
        <v>89</v>
      </c>
    </row>
    <row r="231" spans="1:7" ht="22.5" customHeight="1" x14ac:dyDescent="0.2">
      <c r="A231" s="2" t="str">
        <f ca="1">IFERROR(__xludf.DUMMYFUNCTION("""COMPUTED_VALUE"""),"2024-01-04")</f>
        <v>2024-01-04</v>
      </c>
      <c r="B231" s="10" t="str">
        <f ca="1">IFERROR(__xludf.DUMMYFUNCTION("""COMPUTED_VALUE"""),"TikTok")</f>
        <v>TikTok</v>
      </c>
      <c r="C231" s="10" t="str">
        <f ca="1">IFERROR(__xludf.DUMMYFUNCTION("""COMPUTED_VALUE"""),"Awareness_GenZ")</f>
        <v>Awareness_GenZ</v>
      </c>
      <c r="D231" s="2">
        <f ca="1">IFERROR(__xludf.DUMMYFUNCTION("""COMPUTED_VALUE"""),256789)</f>
        <v>256789</v>
      </c>
      <c r="E231" s="2">
        <f ca="1">IFERROR(__xludf.DUMMYFUNCTION("""COMPUTED_VALUE"""),3890)</f>
        <v>3890</v>
      </c>
      <c r="F231" s="2">
        <f ca="1">IFERROR(__xludf.DUMMYFUNCTION("""COMPUTED_VALUE"""),512.3)</f>
        <v>512.29999999999995</v>
      </c>
      <c r="G231" s="2">
        <f ca="1">IFERROR(__xludf.DUMMYFUNCTION("""COMPUTED_VALUE"""),39)</f>
        <v>39</v>
      </c>
    </row>
    <row r="232" spans="1:7" ht="22.5" customHeight="1" x14ac:dyDescent="0.2">
      <c r="A232" s="2" t="str">
        <f ca="1">IFERROR(__xludf.DUMMYFUNCTION("""COMPUTED_VALUE"""),"2024-01-04")</f>
        <v>2024-01-04</v>
      </c>
      <c r="B232" s="10" t="str">
        <f ca="1">IFERROR(__xludf.DUMMYFUNCTION("""COMPUTED_VALUE"""),"TikTok")</f>
        <v>TikTok</v>
      </c>
      <c r="C232" s="10" t="str">
        <f ca="1">IFERROR(__xludf.DUMMYFUNCTION("""COMPUTED_VALUE"""),"Traffic_Campaign")</f>
        <v>Traffic_Campaign</v>
      </c>
      <c r="D232" s="2">
        <f ca="1">IFERROR(__xludf.DUMMYFUNCTION("""COMPUTED_VALUE"""),201234)</f>
        <v>201234</v>
      </c>
      <c r="E232" s="2">
        <f ca="1">IFERROR(__xludf.DUMMYFUNCTION("""COMPUTED_VALUE"""),3123)</f>
        <v>3123</v>
      </c>
      <c r="F232" s="2">
        <f ca="1">IFERROR(__xludf.DUMMYFUNCTION("""COMPUTED_VALUE"""),374.5)</f>
        <v>374.5</v>
      </c>
      <c r="G232" s="2">
        <f ca="1">IFERROR(__xludf.DUMMYFUNCTION("""COMPUTED_VALUE"""),26)</f>
        <v>26</v>
      </c>
    </row>
    <row r="233" spans="1:7" ht="22.5" customHeight="1" x14ac:dyDescent="0.2">
      <c r="A233" s="2" t="str">
        <f ca="1">IFERROR(__xludf.DUMMYFUNCTION("""COMPUTED_VALUE"""),"2024-01-04")</f>
        <v>2024-01-04</v>
      </c>
      <c r="B233" s="10" t="str">
        <f ca="1">IFERROR(__xludf.DUMMYFUNCTION("""COMPUTED_VALUE"""),"TikTok")</f>
        <v>TikTok</v>
      </c>
      <c r="C233" s="10" t="str">
        <f ca="1">IFERROR(__xludf.DUMMYFUNCTION("""COMPUTED_VALUE"""),"Influencer_Collab")</f>
        <v>Influencer_Collab</v>
      </c>
      <c r="D233" s="2">
        <f ca="1">IFERROR(__xludf.DUMMYFUNCTION("""COMPUTED_VALUE"""),367890)</f>
        <v>367890</v>
      </c>
      <c r="E233" s="2">
        <f ca="1">IFERROR(__xludf.DUMMYFUNCTION("""COMPUTED_VALUE"""),6012)</f>
        <v>6012</v>
      </c>
      <c r="F233" s="2">
        <f ca="1">IFERROR(__xludf.DUMMYFUNCTION("""COMPUTED_VALUE"""),923.4)</f>
        <v>923.4</v>
      </c>
      <c r="G233" s="2">
        <f ca="1">IFERROR(__xludf.DUMMYFUNCTION("""COMPUTED_VALUE"""),94)</f>
        <v>94</v>
      </c>
    </row>
    <row r="234" spans="1:7" ht="22.5" customHeight="1" x14ac:dyDescent="0.2">
      <c r="A234" s="2" t="str">
        <f ca="1">IFERROR(__xludf.DUMMYFUNCTION("""COMPUTED_VALUE"""),"2024-01-05")</f>
        <v>2024-01-05</v>
      </c>
      <c r="B234" s="10" t="str">
        <f ca="1">IFERROR(__xludf.DUMMYFUNCTION("""COMPUTED_VALUE"""),"TikTok")</f>
        <v>TikTok</v>
      </c>
      <c r="C234" s="10" t="str">
        <f ca="1">IFERROR(__xludf.DUMMYFUNCTION("""COMPUTED_VALUE"""),"Awareness_GenZ")</f>
        <v>Awareness_GenZ</v>
      </c>
      <c r="D234" s="2">
        <f ca="1">IFERROR(__xludf.DUMMYFUNCTION("""COMPUTED_VALUE"""),234234)</f>
        <v>234234</v>
      </c>
      <c r="E234" s="2">
        <f ca="1">IFERROR(__xludf.DUMMYFUNCTION("""COMPUTED_VALUE"""),3467)</f>
        <v>3467</v>
      </c>
      <c r="F234" s="2">
        <f ca="1">IFERROR(__xludf.DUMMYFUNCTION("""COMPUTED_VALUE"""),460.2)</f>
        <v>460.2</v>
      </c>
      <c r="G234" s="2">
        <f ca="1">IFERROR(__xludf.DUMMYFUNCTION("""COMPUTED_VALUE"""),35)</f>
        <v>35</v>
      </c>
    </row>
    <row r="235" spans="1:7" ht="22.5" customHeight="1" x14ac:dyDescent="0.2">
      <c r="A235" s="2" t="str">
        <f ca="1">IFERROR(__xludf.DUMMYFUNCTION("""COMPUTED_VALUE"""),"2024-01-05")</f>
        <v>2024-01-05</v>
      </c>
      <c r="B235" s="10" t="str">
        <f ca="1">IFERROR(__xludf.DUMMYFUNCTION("""COMPUTED_VALUE"""),"TikTok")</f>
        <v>TikTok</v>
      </c>
      <c r="C235" s="10" t="str">
        <f ca="1">IFERROR(__xludf.DUMMYFUNCTION("""COMPUTED_VALUE"""),"Conversion_Focus")</f>
        <v>Conversion_Focus</v>
      </c>
      <c r="D235" s="2">
        <f ca="1">IFERROR(__xludf.DUMMYFUNCTION("""COMPUTED_VALUE"""),128901)</f>
        <v>128901</v>
      </c>
      <c r="E235" s="2">
        <f ca="1">IFERROR(__xludf.DUMMYFUNCTION("""COMPUTED_VALUE"""),2456)</f>
        <v>2456</v>
      </c>
      <c r="F235" s="2">
        <f ca="1">IFERROR(__xludf.DUMMYFUNCTION("""COMPUTED_VALUE"""),689.5)</f>
        <v>689.5</v>
      </c>
      <c r="G235" s="2">
        <f ca="1">IFERROR(__xludf.DUMMYFUNCTION("""COMPUTED_VALUE"""),68)</f>
        <v>68</v>
      </c>
    </row>
    <row r="236" spans="1:7" ht="22.5" customHeight="1" x14ac:dyDescent="0.2">
      <c r="A236" s="2" t="str">
        <f ca="1">IFERROR(__xludf.DUMMYFUNCTION("""COMPUTED_VALUE"""),"2024-01-05")</f>
        <v>2024-01-05</v>
      </c>
      <c r="B236" s="10" t="str">
        <f ca="1">IFERROR(__xludf.DUMMYFUNCTION("""COMPUTED_VALUE"""),"TikTok")</f>
        <v>TikTok</v>
      </c>
      <c r="C236" s="10" t="str">
        <f ca="1">IFERROR(__xludf.DUMMYFUNCTION("""COMPUTED_VALUE"""),"Influencer_Collab")</f>
        <v>Influencer_Collab</v>
      </c>
      <c r="D236" s="2">
        <f ca="1">IFERROR(__xludf.DUMMYFUNCTION("""COMPUTED_VALUE"""),356789)</f>
        <v>356789</v>
      </c>
      <c r="E236" s="2">
        <f ca="1">IFERROR(__xludf.DUMMYFUNCTION("""COMPUTED_VALUE"""),5834)</f>
        <v>5834</v>
      </c>
      <c r="F236" s="2">
        <f ca="1">IFERROR(__xludf.DUMMYFUNCTION("""COMPUTED_VALUE"""),901.2)</f>
        <v>901.2</v>
      </c>
      <c r="G236" s="2">
        <f ca="1">IFERROR(__xludf.DUMMYFUNCTION("""COMPUTED_VALUE"""),91)</f>
        <v>91</v>
      </c>
    </row>
    <row r="237" spans="1:7" ht="22.5" customHeight="1" x14ac:dyDescent="0.2">
      <c r="A237" s="2" t="str">
        <f ca="1">IFERROR(__xludf.DUMMYFUNCTION("""COMPUTED_VALUE"""),"2024-01-06")</f>
        <v>2024-01-06</v>
      </c>
      <c r="B237" s="10" t="str">
        <f ca="1">IFERROR(__xludf.DUMMYFUNCTION("""COMPUTED_VALUE"""),"TikTok")</f>
        <v>TikTok</v>
      </c>
      <c r="C237" s="10" t="str">
        <f ca="1">IFERROR(__xludf.DUMMYFUNCTION("""COMPUTED_VALUE"""),"Awareness_GenZ")</f>
        <v>Awareness_GenZ</v>
      </c>
      <c r="D237" s="2">
        <f ca="1">IFERROR(__xludf.DUMMYFUNCTION("""COMPUTED_VALUE"""),267890)</f>
        <v>267890</v>
      </c>
      <c r="E237" s="2">
        <f ca="1">IFERROR(__xludf.DUMMYFUNCTION("""COMPUTED_VALUE"""),3945)</f>
        <v>3945</v>
      </c>
      <c r="F237" s="2">
        <f ca="1">IFERROR(__xludf.DUMMYFUNCTION("""COMPUTED_VALUE"""),523.4)</f>
        <v>523.4</v>
      </c>
      <c r="G237" s="2">
        <f ca="1">IFERROR(__xludf.DUMMYFUNCTION("""COMPUTED_VALUE"""),40)</f>
        <v>40</v>
      </c>
    </row>
    <row r="238" spans="1:7" ht="22.5" customHeight="1" x14ac:dyDescent="0.2">
      <c r="A238" s="2" t="str">
        <f ca="1">IFERROR(__xludf.DUMMYFUNCTION("""COMPUTED_VALUE"""),"2024-01-06")</f>
        <v>2024-01-06</v>
      </c>
      <c r="B238" s="10" t="str">
        <f ca="1">IFERROR(__xludf.DUMMYFUNCTION("""COMPUTED_VALUE"""),"TikTok")</f>
        <v>TikTok</v>
      </c>
      <c r="C238" s="10" t="str">
        <f ca="1">IFERROR(__xludf.DUMMYFUNCTION("""COMPUTED_VALUE"""),"Traffic_Campaign")</f>
        <v>Traffic_Campaign</v>
      </c>
      <c r="D238" s="2">
        <f ca="1">IFERROR(__xludf.DUMMYFUNCTION("""COMPUTED_VALUE"""),205678)</f>
        <v>205678</v>
      </c>
      <c r="E238" s="2">
        <f ca="1">IFERROR(__xludf.DUMMYFUNCTION("""COMPUTED_VALUE"""),3234)</f>
        <v>3234</v>
      </c>
      <c r="F238" s="2">
        <f ca="1">IFERROR(__xludf.DUMMYFUNCTION("""COMPUTED_VALUE"""),387.8)</f>
        <v>387.8</v>
      </c>
      <c r="G238" s="2">
        <f ca="1">IFERROR(__xludf.DUMMYFUNCTION("""COMPUTED_VALUE"""),27)</f>
        <v>27</v>
      </c>
    </row>
    <row r="239" spans="1:7" ht="22.5" customHeight="1" x14ac:dyDescent="0.2">
      <c r="A239" s="2" t="str">
        <f ca="1">IFERROR(__xludf.DUMMYFUNCTION("""COMPUTED_VALUE"""),"2024-01-06")</f>
        <v>2024-01-06</v>
      </c>
      <c r="B239" s="10" t="str">
        <f ca="1">IFERROR(__xludf.DUMMYFUNCTION("""COMPUTED_VALUE"""),"TikTok")</f>
        <v>TikTok</v>
      </c>
      <c r="C239" s="10" t="str">
        <f ca="1">IFERROR(__xludf.DUMMYFUNCTION("""COMPUTED_VALUE"""),"Influencer_Collab")</f>
        <v>Influencer_Collab</v>
      </c>
      <c r="D239" s="2">
        <f ca="1">IFERROR(__xludf.DUMMYFUNCTION("""COMPUTED_VALUE"""),378901)</f>
        <v>378901</v>
      </c>
      <c r="E239" s="2">
        <f ca="1">IFERROR(__xludf.DUMMYFUNCTION("""COMPUTED_VALUE"""),6123)</f>
        <v>6123</v>
      </c>
      <c r="F239" s="2">
        <f ca="1">IFERROR(__xludf.DUMMYFUNCTION("""COMPUTED_VALUE"""),945.6)</f>
        <v>945.6</v>
      </c>
      <c r="G239" s="2">
        <f ca="1">IFERROR(__xludf.DUMMYFUNCTION("""COMPUTED_VALUE"""),96)</f>
        <v>96</v>
      </c>
    </row>
    <row r="240" spans="1:7" ht="22.5" customHeight="1" x14ac:dyDescent="0.2">
      <c r="A240" s="2" t="str">
        <f ca="1">IFERROR(__xludf.DUMMYFUNCTION("""COMPUTED_VALUE"""),"2024-01-07")</f>
        <v>2024-01-07</v>
      </c>
      <c r="B240" s="10" t="str">
        <f ca="1">IFERROR(__xludf.DUMMYFUNCTION("""COMPUTED_VALUE"""),"TikTok")</f>
        <v>TikTok</v>
      </c>
      <c r="C240" s="10" t="str">
        <f ca="1">IFERROR(__xludf.DUMMYFUNCTION("""COMPUTED_VALUE"""),"Awareness_GenZ")</f>
        <v>Awareness_GenZ</v>
      </c>
      <c r="D240" s="2">
        <f ca="1">IFERROR(__xludf.DUMMYFUNCTION("""COMPUTED_VALUE"""),278901)</f>
        <v>278901</v>
      </c>
      <c r="E240" s="2">
        <f ca="1">IFERROR(__xludf.DUMMYFUNCTION("""COMPUTED_VALUE"""),4123)</f>
        <v>4123</v>
      </c>
      <c r="F240" s="2">
        <f ca="1">IFERROR(__xludf.DUMMYFUNCTION("""COMPUTED_VALUE"""),545.6)</f>
        <v>545.6</v>
      </c>
      <c r="G240" s="2">
        <f ca="1">IFERROR(__xludf.DUMMYFUNCTION("""COMPUTED_VALUE"""),42)</f>
        <v>42</v>
      </c>
    </row>
    <row r="241" spans="1:7" ht="22.5" customHeight="1" x14ac:dyDescent="0.2">
      <c r="A241" s="2" t="str">
        <f ca="1">IFERROR(__xludf.DUMMYFUNCTION("""COMPUTED_VALUE"""),"2024-01-07")</f>
        <v>2024-01-07</v>
      </c>
      <c r="B241" s="10" t="str">
        <f ca="1">IFERROR(__xludf.DUMMYFUNCTION("""COMPUTED_VALUE"""),"TikTok")</f>
        <v>TikTok</v>
      </c>
      <c r="C241" s="10" t="str">
        <f ca="1">IFERROR(__xludf.DUMMYFUNCTION("""COMPUTED_VALUE"""),"Conversion_Focus")</f>
        <v>Conversion_Focus</v>
      </c>
      <c r="D241" s="2">
        <f ca="1">IFERROR(__xludf.DUMMYFUNCTION("""COMPUTED_VALUE"""),138901)</f>
        <v>138901</v>
      </c>
      <c r="E241" s="2">
        <f ca="1">IFERROR(__xludf.DUMMYFUNCTION("""COMPUTED_VALUE"""),2678)</f>
        <v>2678</v>
      </c>
      <c r="F241" s="2">
        <f ca="1">IFERROR(__xludf.DUMMYFUNCTION("""COMPUTED_VALUE"""),734.5)</f>
        <v>734.5</v>
      </c>
      <c r="G241" s="2">
        <f ca="1">IFERROR(__xludf.DUMMYFUNCTION("""COMPUTED_VALUE"""),73)</f>
        <v>73</v>
      </c>
    </row>
    <row r="242" spans="1:7" ht="22.5" customHeight="1" x14ac:dyDescent="0.2">
      <c r="A242" s="2" t="str">
        <f ca="1">IFERROR(__xludf.DUMMYFUNCTION("""COMPUTED_VALUE"""),"2024-01-07")</f>
        <v>2024-01-07</v>
      </c>
      <c r="B242" s="10" t="str">
        <f ca="1">IFERROR(__xludf.DUMMYFUNCTION("""COMPUTED_VALUE"""),"TikTok")</f>
        <v>TikTok</v>
      </c>
      <c r="C242" s="10" t="str">
        <f ca="1">IFERROR(__xludf.DUMMYFUNCTION("""COMPUTED_VALUE"""),"Traffic_Campaign")</f>
        <v>Traffic_Campaign</v>
      </c>
      <c r="D242" s="2">
        <f ca="1">IFERROR(__xludf.DUMMYFUNCTION("""COMPUTED_VALUE"""),212345)</f>
        <v>212345</v>
      </c>
      <c r="E242" s="2">
        <f ca="1">IFERROR(__xludf.DUMMYFUNCTION("""COMPUTED_VALUE"""),3345)</f>
        <v>3345</v>
      </c>
      <c r="F242" s="2">
        <f ca="1">IFERROR(__xludf.DUMMYFUNCTION("""COMPUTED_VALUE"""),401.1)</f>
        <v>401.1</v>
      </c>
      <c r="G242" s="2">
        <f ca="1">IFERROR(__xludf.DUMMYFUNCTION("""COMPUTED_VALUE"""),28)</f>
        <v>28</v>
      </c>
    </row>
    <row r="243" spans="1:7" ht="22.5" customHeight="1" x14ac:dyDescent="0.2">
      <c r="A243" s="2" t="str">
        <f ca="1">IFERROR(__xludf.DUMMYFUNCTION("""COMPUTED_VALUE"""),"2024-01-08")</f>
        <v>2024-01-08</v>
      </c>
      <c r="B243" s="10" t="str">
        <f ca="1">IFERROR(__xludf.DUMMYFUNCTION("""COMPUTED_VALUE"""),"TikTok")</f>
        <v>TikTok</v>
      </c>
      <c r="C243" s="10" t="str">
        <f ca="1">IFERROR(__xludf.DUMMYFUNCTION("""COMPUTED_VALUE"""),"Awareness_GenZ")</f>
        <v>Awareness_GenZ</v>
      </c>
      <c r="D243" s="2">
        <f ca="1">IFERROR(__xludf.DUMMYFUNCTION("""COMPUTED_VALUE"""),245234)</f>
        <v>245234</v>
      </c>
      <c r="E243" s="2">
        <f ca="1">IFERROR(__xludf.DUMMYFUNCTION("""COMPUTED_VALUE"""),3578)</f>
        <v>3578</v>
      </c>
      <c r="F243" s="2">
        <f ca="1">IFERROR(__xludf.DUMMYFUNCTION("""COMPUTED_VALUE"""),474.3)</f>
        <v>474.3</v>
      </c>
      <c r="G243" s="2">
        <f ca="1">IFERROR(__xludf.DUMMYFUNCTION("""COMPUTED_VALUE"""),37)</f>
        <v>37</v>
      </c>
    </row>
    <row r="244" spans="1:7" ht="22.5" customHeight="1" x14ac:dyDescent="0.2">
      <c r="A244" s="2" t="str">
        <f ca="1">IFERROR(__xludf.DUMMYFUNCTION("""COMPUTED_VALUE"""),"2024-01-08")</f>
        <v>2024-01-08</v>
      </c>
      <c r="B244" s="10" t="str">
        <f ca="1">IFERROR(__xludf.DUMMYFUNCTION("""COMPUTED_VALUE"""),"TikTok")</f>
        <v>TikTok</v>
      </c>
      <c r="C244" s="10" t="str">
        <f ca="1">IFERROR(__xludf.DUMMYFUNCTION("""COMPUTED_VALUE"""),"Conversion_Focus")</f>
        <v>Conversion_Focus</v>
      </c>
      <c r="D244" s="2">
        <f ca="1">IFERROR(__xludf.DUMMYFUNCTION("""COMPUTED_VALUE"""),119234)</f>
        <v>119234</v>
      </c>
      <c r="E244" s="2">
        <f ca="1">IFERROR(__xludf.DUMMYFUNCTION("""COMPUTED_VALUE"""),2234)</f>
        <v>2234</v>
      </c>
      <c r="F244" s="2">
        <f ca="1">IFERROR(__xludf.DUMMYFUNCTION("""COMPUTED_VALUE"""),645.6)</f>
        <v>645.6</v>
      </c>
      <c r="G244" s="2">
        <f ca="1">IFERROR(__xludf.DUMMYFUNCTION("""COMPUTED_VALUE"""),64)</f>
        <v>64</v>
      </c>
    </row>
    <row r="245" spans="1:7" ht="22.5" customHeight="1" x14ac:dyDescent="0.2">
      <c r="A245" s="2" t="str">
        <f ca="1">IFERROR(__xludf.DUMMYFUNCTION("""COMPUTED_VALUE"""),"2024-01-08")</f>
        <v>2024-01-08</v>
      </c>
      <c r="B245" s="10" t="str">
        <f ca="1">IFERROR(__xludf.DUMMYFUNCTION("""COMPUTED_VALUE"""),"TikTok")</f>
        <v>TikTok</v>
      </c>
      <c r="C245" s="10" t="str">
        <f ca="1">IFERROR(__xludf.DUMMYFUNCTION("""COMPUTED_VALUE"""),"Influencer_Collab")</f>
        <v>Influencer_Collab</v>
      </c>
      <c r="D245" s="2">
        <f ca="1">IFERROR(__xludf.DUMMYFUNCTION("""COMPUTED_VALUE"""),389012)</f>
        <v>389012</v>
      </c>
      <c r="E245" s="2">
        <f ca="1">IFERROR(__xludf.DUMMYFUNCTION("""COMPUTED_VALUE"""),6234)</f>
        <v>6234</v>
      </c>
      <c r="F245" s="2">
        <f ca="1">IFERROR(__xludf.DUMMYFUNCTION("""COMPUTED_VALUE"""),967.8)</f>
        <v>967.8</v>
      </c>
      <c r="G245" s="2">
        <f ca="1">IFERROR(__xludf.DUMMYFUNCTION("""COMPUTED_VALUE"""),98)</f>
        <v>98</v>
      </c>
    </row>
    <row r="246" spans="1:7" ht="22.5" customHeight="1" x14ac:dyDescent="0.2">
      <c r="A246" s="2" t="str">
        <f ca="1">IFERROR(__xludf.DUMMYFUNCTION("""COMPUTED_VALUE"""),"2024-01-09")</f>
        <v>2024-01-09</v>
      </c>
      <c r="B246" s="10" t="str">
        <f ca="1">IFERROR(__xludf.DUMMYFUNCTION("""COMPUTED_VALUE"""),"TikTok")</f>
        <v>TikTok</v>
      </c>
      <c r="C246" s="10" t="str">
        <f ca="1">IFERROR(__xludf.DUMMYFUNCTION("""COMPUTED_VALUE"""),"Awareness_GenZ")</f>
        <v>Awareness_GenZ</v>
      </c>
      <c r="D246" s="2">
        <f ca="1">IFERROR(__xludf.DUMMYFUNCTION("""COMPUTED_VALUE"""),289012)</f>
        <v>289012</v>
      </c>
      <c r="E246" s="2">
        <f ca="1">IFERROR(__xludf.DUMMYFUNCTION("""COMPUTED_VALUE"""),4234)</f>
        <v>4234</v>
      </c>
      <c r="F246" s="2">
        <f ca="1">IFERROR(__xludf.DUMMYFUNCTION("""COMPUTED_VALUE"""),556.7)</f>
        <v>556.70000000000005</v>
      </c>
      <c r="G246" s="2">
        <f ca="1">IFERROR(__xludf.DUMMYFUNCTION("""COMPUTED_VALUE"""),43)</f>
        <v>43</v>
      </c>
    </row>
    <row r="247" spans="1:7" ht="22.5" customHeight="1" x14ac:dyDescent="0.2">
      <c r="A247" s="2" t="str">
        <f ca="1">IFERROR(__xludf.DUMMYFUNCTION("""COMPUTED_VALUE"""),"2024-01-09")</f>
        <v>2024-01-09</v>
      </c>
      <c r="B247" s="10" t="str">
        <f ca="1">IFERROR(__xludf.DUMMYFUNCTION("""COMPUTED_VALUE"""),"TikTok")</f>
        <v>TikTok</v>
      </c>
      <c r="C247" s="10" t="str">
        <f ca="1">IFERROR(__xludf.DUMMYFUNCTION("""COMPUTED_VALUE"""),"Traffic_Campaign")</f>
        <v>Traffic_Campaign</v>
      </c>
      <c r="D247" s="2">
        <f ca="1">IFERROR(__xludf.DUMMYFUNCTION("""COMPUTED_VALUE"""),218901)</f>
        <v>218901</v>
      </c>
      <c r="E247" s="2">
        <f ca="1">IFERROR(__xludf.DUMMYFUNCTION("""COMPUTED_VALUE"""),3456)</f>
        <v>3456</v>
      </c>
      <c r="F247" s="2">
        <f ca="1">IFERROR(__xludf.DUMMYFUNCTION("""COMPUTED_VALUE"""),414.4)</f>
        <v>414.4</v>
      </c>
      <c r="G247" s="2">
        <f ca="1">IFERROR(__xludf.DUMMYFUNCTION("""COMPUTED_VALUE"""),29)</f>
        <v>29</v>
      </c>
    </row>
    <row r="248" spans="1:7" ht="22.5" customHeight="1" x14ac:dyDescent="0.2">
      <c r="A248" s="2" t="str">
        <f ca="1">IFERROR(__xludf.DUMMYFUNCTION("""COMPUTED_VALUE"""),"2024-01-09")</f>
        <v>2024-01-09</v>
      </c>
      <c r="B248" s="10" t="str">
        <f ca="1">IFERROR(__xludf.DUMMYFUNCTION("""COMPUTED_VALUE"""),"TikTok")</f>
        <v>TikTok</v>
      </c>
      <c r="C248" s="10" t="str">
        <f ca="1">IFERROR(__xludf.DUMMYFUNCTION("""COMPUTED_VALUE"""),"Influencer_Collab")</f>
        <v>Influencer_Collab</v>
      </c>
      <c r="D248" s="2">
        <f ca="1">IFERROR(__xludf.DUMMYFUNCTION("""COMPUTED_VALUE"""),401234)</f>
        <v>401234</v>
      </c>
      <c r="E248" s="2">
        <f ca="1">IFERROR(__xludf.DUMMYFUNCTION("""COMPUTED_VALUE"""),6456)</f>
        <v>6456</v>
      </c>
      <c r="F248" s="2">
        <f ca="1">IFERROR(__xludf.DUMMYFUNCTION("""COMPUTED_VALUE"""),989.9)</f>
        <v>989.9</v>
      </c>
      <c r="G248" s="2">
        <f ca="1">IFERROR(__xludf.DUMMYFUNCTION("""COMPUTED_VALUE"""),101)</f>
        <v>101</v>
      </c>
    </row>
    <row r="249" spans="1:7" ht="22.5" customHeight="1" x14ac:dyDescent="0.2">
      <c r="A249" s="2" t="str">
        <f ca="1">IFERROR(__xludf.DUMMYFUNCTION("""COMPUTED_VALUE"""),"2024-01-10")</f>
        <v>2024-01-10</v>
      </c>
      <c r="B249" s="10" t="str">
        <f ca="1">IFERROR(__xludf.DUMMYFUNCTION("""COMPUTED_VALUE"""),"TikTok")</f>
        <v>TikTok</v>
      </c>
      <c r="C249" s="10" t="str">
        <f ca="1">IFERROR(__xludf.DUMMYFUNCTION("""COMPUTED_VALUE"""),"Awareness_GenZ")</f>
        <v>Awareness_GenZ</v>
      </c>
      <c r="D249" s="2">
        <f ca="1">IFERROR(__xludf.DUMMYFUNCTION("""COMPUTED_VALUE"""),256234)</f>
        <v>256234</v>
      </c>
      <c r="E249" s="2">
        <f ca="1">IFERROR(__xludf.DUMMYFUNCTION("""COMPUTED_VALUE"""),3701)</f>
        <v>3701</v>
      </c>
      <c r="F249" s="2">
        <f ca="1">IFERROR(__xludf.DUMMYFUNCTION("""COMPUTED_VALUE"""),490.5)</f>
        <v>490.5</v>
      </c>
      <c r="G249" s="2">
        <f ca="1">IFERROR(__xludf.DUMMYFUNCTION("""COMPUTED_VALUE"""),38)</f>
        <v>38</v>
      </c>
    </row>
    <row r="250" spans="1:7" ht="22.5" customHeight="1" x14ac:dyDescent="0.2">
      <c r="A250" s="2" t="str">
        <f ca="1">IFERROR(__xludf.DUMMYFUNCTION("""COMPUTED_VALUE"""),"2024-01-10")</f>
        <v>2024-01-10</v>
      </c>
      <c r="B250" s="10" t="str">
        <f ca="1">IFERROR(__xludf.DUMMYFUNCTION("""COMPUTED_VALUE"""),"TikTok")</f>
        <v>TikTok</v>
      </c>
      <c r="C250" s="10" t="str">
        <f ca="1">IFERROR(__xludf.DUMMYFUNCTION("""COMPUTED_VALUE"""),"Conversion_Focus")</f>
        <v>Conversion_Focus</v>
      </c>
      <c r="D250" s="2">
        <f ca="1">IFERROR(__xludf.DUMMYFUNCTION("""COMPUTED_VALUE"""),145678)</f>
        <v>145678</v>
      </c>
      <c r="E250" s="2">
        <f ca="1">IFERROR(__xludf.DUMMYFUNCTION("""COMPUTED_VALUE"""),2789)</f>
        <v>2789</v>
      </c>
      <c r="F250" s="2">
        <f ca="1">IFERROR(__xludf.DUMMYFUNCTION("""COMPUTED_VALUE"""),756.7)</f>
        <v>756.7</v>
      </c>
      <c r="G250" s="2">
        <f ca="1">IFERROR(__xludf.DUMMYFUNCTION("""COMPUTED_VALUE"""),76)</f>
        <v>76</v>
      </c>
    </row>
    <row r="251" spans="1:7" ht="22.5" customHeight="1" x14ac:dyDescent="0.2">
      <c r="A251" s="2" t="str">
        <f ca="1">IFERROR(__xludf.DUMMYFUNCTION("""COMPUTED_VALUE"""),"2024-01-10")</f>
        <v>2024-01-10</v>
      </c>
      <c r="B251" s="10" t="str">
        <f ca="1">IFERROR(__xludf.DUMMYFUNCTION("""COMPUTED_VALUE"""),"TikTok")</f>
        <v>TikTok</v>
      </c>
      <c r="C251" s="10" t="str">
        <f ca="1">IFERROR(__xludf.DUMMYFUNCTION("""COMPUTED_VALUE"""),"Traffic_Campaign")</f>
        <v>Traffic_Campaign</v>
      </c>
      <c r="D251" s="2">
        <f ca="1">IFERROR(__xludf.DUMMYFUNCTION("""COMPUTED_VALUE"""),223456)</f>
        <v>223456</v>
      </c>
      <c r="E251" s="2">
        <f ca="1">IFERROR(__xludf.DUMMYFUNCTION("""COMPUTED_VALUE"""),3567)</f>
        <v>3567</v>
      </c>
      <c r="F251" s="2">
        <f ca="1">IFERROR(__xludf.DUMMYFUNCTION("""COMPUTED_VALUE"""),427.7)</f>
        <v>427.7</v>
      </c>
      <c r="G251" s="2">
        <f ca="1">IFERROR(__xludf.DUMMYFUNCTION("""COMPUTED_VALUE"""),30)</f>
        <v>30</v>
      </c>
    </row>
    <row r="252" spans="1:7" ht="22.5" customHeight="1" x14ac:dyDescent="0.2">
      <c r="A252" s="2" t="str">
        <f ca="1">IFERROR(__xludf.DUMMYFUNCTION("""COMPUTED_VALUE"""),"2024-01-11")</f>
        <v>2024-01-11</v>
      </c>
      <c r="B252" s="10" t="str">
        <f ca="1">IFERROR(__xludf.DUMMYFUNCTION("""COMPUTED_VALUE"""),"TikTok")</f>
        <v>TikTok</v>
      </c>
      <c r="C252" s="10" t="str">
        <f ca="1">IFERROR(__xludf.DUMMYFUNCTION("""COMPUTED_VALUE"""),"Awareness_GenZ")</f>
        <v>Awareness_GenZ</v>
      </c>
      <c r="D252" s="2">
        <f ca="1">IFERROR(__xludf.DUMMYFUNCTION("""COMPUTED_VALUE"""),278901)</f>
        <v>278901</v>
      </c>
      <c r="E252" s="2">
        <f ca="1">IFERROR(__xludf.DUMMYFUNCTION("""COMPUTED_VALUE"""),4123)</f>
        <v>4123</v>
      </c>
      <c r="F252" s="2">
        <f ca="1">IFERROR(__xludf.DUMMYFUNCTION("""COMPUTED_VALUE"""),523.6)</f>
        <v>523.6</v>
      </c>
      <c r="G252" s="2">
        <f ca="1">IFERROR(__xludf.DUMMYFUNCTION("""COMPUTED_VALUE"""),42)</f>
        <v>42</v>
      </c>
    </row>
    <row r="253" spans="1:7" ht="22.5" customHeight="1" x14ac:dyDescent="0.2">
      <c r="A253" s="2" t="str">
        <f ca="1">IFERROR(__xludf.DUMMYFUNCTION("""COMPUTED_VALUE"""),"2024-01-11")</f>
        <v>2024-01-11</v>
      </c>
      <c r="B253" s="10" t="str">
        <f ca="1">IFERROR(__xludf.DUMMYFUNCTION("""COMPUTED_VALUE"""),"TikTok")</f>
        <v>TikTok</v>
      </c>
      <c r="C253" s="10" t="str">
        <f ca="1">IFERROR(__xludf.DUMMYFUNCTION("""COMPUTED_VALUE"""),"Conversion_Focus")</f>
        <v>Conversion_Focus</v>
      </c>
      <c r="D253" s="2">
        <f ca="1">IFERROR(__xludf.DUMMYFUNCTION("""COMPUTED_VALUE"""),156789)</f>
        <v>156789</v>
      </c>
      <c r="E253" s="2">
        <f ca="1">IFERROR(__xludf.DUMMYFUNCTION("""COMPUTED_VALUE"""),3012)</f>
        <v>3012</v>
      </c>
      <c r="F253" s="2">
        <f ca="1">IFERROR(__xludf.DUMMYFUNCTION("""COMPUTED_VALUE"""),812.3)</f>
        <v>812.3</v>
      </c>
      <c r="G253" s="2">
        <f ca="1">IFERROR(__xludf.DUMMYFUNCTION("""COMPUTED_VALUE"""),82)</f>
        <v>82</v>
      </c>
    </row>
    <row r="254" spans="1:7" ht="22.5" customHeight="1" x14ac:dyDescent="0.2">
      <c r="A254" s="2" t="str">
        <f ca="1">IFERROR(__xludf.DUMMYFUNCTION("""COMPUTED_VALUE"""),"2024-01-11")</f>
        <v>2024-01-11</v>
      </c>
      <c r="B254" s="10" t="str">
        <f ca="1">IFERROR(__xludf.DUMMYFUNCTION("""COMPUTED_VALUE"""),"TikTok")</f>
        <v>TikTok</v>
      </c>
      <c r="C254" s="10" t="str">
        <f ca="1">IFERROR(__xludf.DUMMYFUNCTION("""COMPUTED_VALUE"""),"Traffic_Campaign")</f>
        <v>Traffic_Campaign</v>
      </c>
      <c r="D254" s="2">
        <f ca="1">IFERROR(__xludf.DUMMYFUNCTION("""COMPUTED_VALUE"""),234567)</f>
        <v>234567</v>
      </c>
      <c r="E254" s="2">
        <f ca="1">IFERROR(__xludf.DUMMYFUNCTION("""COMPUTED_VALUE"""),3789)</f>
        <v>3789</v>
      </c>
      <c r="F254" s="2">
        <f ca="1">IFERROR(__xludf.DUMMYFUNCTION("""COMPUTED_VALUE"""),456.8)</f>
        <v>456.8</v>
      </c>
      <c r="G254" s="2">
        <f ca="1">IFERROR(__xludf.DUMMYFUNCTION("""COMPUTED_VALUE"""),33)</f>
        <v>33</v>
      </c>
    </row>
    <row r="255" spans="1:7" ht="22.5" customHeight="1" x14ac:dyDescent="0.2">
      <c r="A255" s="2" t="str">
        <f ca="1">IFERROR(__xludf.DUMMYFUNCTION("""COMPUTED_VALUE"""),"2024-01-11")</f>
        <v>2024-01-11</v>
      </c>
      <c r="B255" s="10" t="str">
        <f ca="1">IFERROR(__xludf.DUMMYFUNCTION("""COMPUTED_VALUE"""),"TikTok")</f>
        <v>TikTok</v>
      </c>
      <c r="C255" s="10" t="str">
        <f ca="1">IFERROR(__xludf.DUMMYFUNCTION("""COMPUTED_VALUE"""),"Influencer_Collab")</f>
        <v>Influencer_Collab</v>
      </c>
      <c r="D255" s="2">
        <f ca="1">IFERROR(__xludf.DUMMYFUNCTION("""COMPUTED_VALUE"""),412345)</f>
        <v>412345</v>
      </c>
      <c r="E255" s="2">
        <f ca="1">IFERROR(__xludf.DUMMYFUNCTION("""COMPUTED_VALUE"""),6789)</f>
        <v>6789</v>
      </c>
      <c r="F255" s="2">
        <f ca="1">IFERROR(__xludf.DUMMYFUNCTION("""COMPUTED_VALUE"""),1023.4)</f>
        <v>1023.4</v>
      </c>
      <c r="G255" s="2">
        <f ca="1">IFERROR(__xludf.DUMMYFUNCTION("""COMPUTED_VALUE"""),103)</f>
        <v>103</v>
      </c>
    </row>
    <row r="256" spans="1:7" ht="22.5" customHeight="1" x14ac:dyDescent="0.2">
      <c r="A256" s="2" t="str">
        <f ca="1">IFERROR(__xludf.DUMMYFUNCTION("""COMPUTED_VALUE"""),"2024-01-12")</f>
        <v>2024-01-12</v>
      </c>
      <c r="B256" s="10" t="str">
        <f ca="1">IFERROR(__xludf.DUMMYFUNCTION("""COMPUTED_VALUE"""),"TikTok")</f>
        <v>TikTok</v>
      </c>
      <c r="C256" s="10" t="str">
        <f ca="1">IFERROR(__xludf.DUMMYFUNCTION("""COMPUTED_VALUE"""),"Awareness_GenZ")</f>
        <v>Awareness_GenZ</v>
      </c>
      <c r="D256" s="2">
        <f ca="1">IFERROR(__xludf.DUMMYFUNCTION("""COMPUTED_VALUE"""),267890)</f>
        <v>267890</v>
      </c>
      <c r="E256" s="2">
        <f ca="1">IFERROR(__xludf.DUMMYFUNCTION("""COMPUTED_VALUE"""),3945)</f>
        <v>3945</v>
      </c>
      <c r="F256" s="2">
        <f ca="1">IFERROR(__xludf.DUMMYFUNCTION("""COMPUTED_VALUE"""),501.2)</f>
        <v>501.2</v>
      </c>
      <c r="G256" s="2">
        <f ca="1">IFERROR(__xludf.DUMMYFUNCTION("""COMPUTED_VALUE"""),40)</f>
        <v>40</v>
      </c>
    </row>
    <row r="257" spans="1:7" ht="22.5" customHeight="1" x14ac:dyDescent="0.2">
      <c r="A257" s="2" t="str">
        <f ca="1">IFERROR(__xludf.DUMMYFUNCTION("""COMPUTED_VALUE"""),"2024-01-12")</f>
        <v>2024-01-12</v>
      </c>
      <c r="B257" s="10" t="str">
        <f ca="1">IFERROR(__xludf.DUMMYFUNCTION("""COMPUTED_VALUE"""),"TikTok")</f>
        <v>TikTok</v>
      </c>
      <c r="C257" s="10" t="str">
        <f ca="1">IFERROR(__xludf.DUMMYFUNCTION("""COMPUTED_VALUE"""),"Conversion_Focus")</f>
        <v>Conversion_Focus</v>
      </c>
      <c r="D257" s="2">
        <f ca="1">IFERROR(__xludf.DUMMYFUNCTION("""COMPUTED_VALUE"""),148901)</f>
        <v>148901</v>
      </c>
      <c r="E257" s="2">
        <f ca="1">IFERROR(__xludf.DUMMYFUNCTION("""COMPUTED_VALUE"""),2834)</f>
        <v>2834</v>
      </c>
      <c r="F257" s="2">
        <f ca="1">IFERROR(__xludf.DUMMYFUNCTION("""COMPUTED_VALUE"""),767.5)</f>
        <v>767.5</v>
      </c>
      <c r="G257" s="2">
        <f ca="1">IFERROR(__xludf.DUMMYFUNCTION("""COMPUTED_VALUE"""),77)</f>
        <v>77</v>
      </c>
    </row>
    <row r="258" spans="1:7" ht="22.5" customHeight="1" x14ac:dyDescent="0.2">
      <c r="A258" s="2" t="str">
        <f ca="1">IFERROR(__xludf.DUMMYFUNCTION("""COMPUTED_VALUE"""),"2024-01-12")</f>
        <v>2024-01-12</v>
      </c>
      <c r="B258" s="10" t="str">
        <f ca="1">IFERROR(__xludf.DUMMYFUNCTION("""COMPUTED_VALUE"""),"TikTok")</f>
        <v>TikTok</v>
      </c>
      <c r="C258" s="10" t="str">
        <f ca="1">IFERROR(__xludf.DUMMYFUNCTION("""COMPUTED_VALUE"""),"Traffic_Campaign")</f>
        <v>Traffic_Campaign</v>
      </c>
      <c r="D258" s="2">
        <f ca="1">IFERROR(__xludf.DUMMYFUNCTION("""COMPUTED_VALUE"""),228901)</f>
        <v>228901</v>
      </c>
      <c r="E258" s="2">
        <f ca="1">IFERROR(__xludf.DUMMYFUNCTION("""COMPUTED_VALUE"""),3634)</f>
        <v>3634</v>
      </c>
      <c r="F258" s="2">
        <f ca="1">IFERROR(__xludf.DUMMYFUNCTION("""COMPUTED_VALUE"""),441.9)</f>
        <v>441.9</v>
      </c>
      <c r="G258" s="2">
        <f ca="1">IFERROR(__xludf.DUMMYFUNCTION("""COMPUTED_VALUE"""),31)</f>
        <v>31</v>
      </c>
    </row>
    <row r="259" spans="1:7" ht="22.5" customHeight="1" x14ac:dyDescent="0.2">
      <c r="A259" s="2" t="str">
        <f ca="1">IFERROR(__xludf.DUMMYFUNCTION("""COMPUTED_VALUE"""),"2024-01-12")</f>
        <v>2024-01-12</v>
      </c>
      <c r="B259" s="10" t="str">
        <f ca="1">IFERROR(__xludf.DUMMYFUNCTION("""COMPUTED_VALUE"""),"TikTok")</f>
        <v>TikTok</v>
      </c>
      <c r="C259" s="10" t="str">
        <f ca="1">IFERROR(__xludf.DUMMYFUNCTION("""COMPUTED_VALUE"""),"Influencer_Collab")</f>
        <v>Influencer_Collab</v>
      </c>
      <c r="D259" s="2">
        <f ca="1">IFERROR(__xludf.DUMMYFUNCTION("""COMPUTED_VALUE"""),398567)</f>
        <v>398567</v>
      </c>
      <c r="E259" s="2">
        <f ca="1">IFERROR(__xludf.DUMMYFUNCTION("""COMPUTED_VALUE"""),6534)</f>
        <v>6534</v>
      </c>
      <c r="F259" s="2">
        <f ca="1">IFERROR(__xludf.DUMMYFUNCTION("""COMPUTED_VALUE"""),998.7)</f>
        <v>998.7</v>
      </c>
      <c r="G259" s="2">
        <f ca="1">IFERROR(__xludf.DUMMYFUNCTION("""COMPUTED_VALUE"""),98)</f>
        <v>98</v>
      </c>
    </row>
    <row r="260" spans="1:7" ht="22.5" customHeight="1" x14ac:dyDescent="0.2">
      <c r="A260" s="2" t="str">
        <f ca="1">IFERROR(__xludf.DUMMYFUNCTION("""COMPUTED_VALUE"""),"2024-01-13")</f>
        <v>2024-01-13</v>
      </c>
      <c r="B260" s="10" t="str">
        <f ca="1">IFERROR(__xludf.DUMMYFUNCTION("""COMPUTED_VALUE"""),"TikTok")</f>
        <v>TikTok</v>
      </c>
      <c r="C260" s="10" t="str">
        <f ca="1">IFERROR(__xludf.DUMMYFUNCTION("""COMPUTED_VALUE"""),"Awareness_GenZ")</f>
        <v>Awareness_GenZ</v>
      </c>
      <c r="D260" s="2">
        <f ca="1">IFERROR(__xludf.DUMMYFUNCTION("""COMPUTED_VALUE"""),234567)</f>
        <v>234567</v>
      </c>
      <c r="E260" s="2">
        <f ca="1">IFERROR(__xludf.DUMMYFUNCTION("""COMPUTED_VALUE"""),3456)</f>
        <v>3456</v>
      </c>
      <c r="F260" s="2">
        <f ca="1">IFERROR(__xludf.DUMMYFUNCTION("""COMPUTED_VALUE"""),456.7)</f>
        <v>456.7</v>
      </c>
      <c r="G260" s="2">
        <f ca="1">IFERROR(__xludf.DUMMYFUNCTION("""COMPUTED_VALUE"""),34)</f>
        <v>34</v>
      </c>
    </row>
    <row r="261" spans="1:7" ht="22.5" customHeight="1" x14ac:dyDescent="0.2">
      <c r="A261" s="2" t="str">
        <f ca="1">IFERROR(__xludf.DUMMYFUNCTION("""COMPUTED_VALUE"""),"2024-01-13")</f>
        <v>2024-01-13</v>
      </c>
      <c r="B261" s="10" t="str">
        <f ca="1">IFERROR(__xludf.DUMMYFUNCTION("""COMPUTED_VALUE"""),"TikTok")</f>
        <v>TikTok</v>
      </c>
      <c r="C261" s="10" t="str">
        <f ca="1">IFERROR(__xludf.DUMMYFUNCTION("""COMPUTED_VALUE"""),"Conversion_Focus")</f>
        <v>Conversion_Focus</v>
      </c>
      <c r="D261" s="2">
        <f ca="1">IFERROR(__xludf.DUMMYFUNCTION("""COMPUTED_VALUE"""),134567)</f>
        <v>134567</v>
      </c>
      <c r="E261" s="2">
        <f ca="1">IFERROR(__xludf.DUMMYFUNCTION("""COMPUTED_VALUE"""),2567)</f>
        <v>2567</v>
      </c>
      <c r="F261" s="2">
        <f ca="1">IFERROR(__xludf.DUMMYFUNCTION("""COMPUTED_VALUE"""),712.3)</f>
        <v>712.3</v>
      </c>
      <c r="G261" s="2">
        <f ca="1">IFERROR(__xludf.DUMMYFUNCTION("""COMPUTED_VALUE"""),71)</f>
        <v>71</v>
      </c>
    </row>
    <row r="262" spans="1:7" ht="22.5" customHeight="1" x14ac:dyDescent="0.2">
      <c r="A262" s="2" t="str">
        <f ca="1">IFERROR(__xludf.DUMMYFUNCTION("""COMPUTED_VALUE"""),"2024-01-13")</f>
        <v>2024-01-13</v>
      </c>
      <c r="B262" s="10" t="str">
        <f ca="1">IFERROR(__xludf.DUMMYFUNCTION("""COMPUTED_VALUE"""),"TikTok")</f>
        <v>TikTok</v>
      </c>
      <c r="C262" s="10" t="str">
        <f ca="1">IFERROR(__xludf.DUMMYFUNCTION("""COMPUTED_VALUE"""),"Traffic_Campaign")</f>
        <v>Traffic_Campaign</v>
      </c>
      <c r="D262" s="2">
        <f ca="1">IFERROR(__xludf.DUMMYFUNCTION("""COMPUTED_VALUE"""),201234)</f>
        <v>201234</v>
      </c>
      <c r="E262" s="2">
        <f ca="1">IFERROR(__xludf.DUMMYFUNCTION("""COMPUTED_VALUE"""),3123)</f>
        <v>3123</v>
      </c>
      <c r="F262" s="2">
        <f ca="1">IFERROR(__xludf.DUMMYFUNCTION("""COMPUTED_VALUE"""),374.5)</f>
        <v>374.5</v>
      </c>
      <c r="G262" s="2">
        <f ca="1">IFERROR(__xludf.DUMMYFUNCTION("""COMPUTED_VALUE"""),26)</f>
        <v>26</v>
      </c>
    </row>
    <row r="263" spans="1:7" ht="22.5" customHeight="1" x14ac:dyDescent="0.2">
      <c r="A263" s="2" t="str">
        <f ca="1">IFERROR(__xludf.DUMMYFUNCTION("""COMPUTED_VALUE"""),"2024-01-13")</f>
        <v>2024-01-13</v>
      </c>
      <c r="B263" s="10" t="str">
        <f ca="1">IFERROR(__xludf.DUMMYFUNCTION("""COMPUTED_VALUE"""),"TikTok")</f>
        <v>TikTok</v>
      </c>
      <c r="C263" s="10" t="str">
        <f ca="1">IFERROR(__xludf.DUMMYFUNCTION("""COMPUTED_VALUE"""),"Influencer_Collab")</f>
        <v>Influencer_Collab</v>
      </c>
      <c r="D263" s="2">
        <f ca="1">IFERROR(__xludf.DUMMYFUNCTION("""COMPUTED_VALUE"""),367890)</f>
        <v>367890</v>
      </c>
      <c r="E263" s="2">
        <f ca="1">IFERROR(__xludf.DUMMYFUNCTION("""COMPUTED_VALUE"""),6012)</f>
        <v>6012</v>
      </c>
      <c r="F263" s="2">
        <f ca="1">IFERROR(__xludf.DUMMYFUNCTION("""COMPUTED_VALUE"""),923.4)</f>
        <v>923.4</v>
      </c>
      <c r="G263" s="2">
        <f ca="1">IFERROR(__xludf.DUMMYFUNCTION("""COMPUTED_VALUE"""),94)</f>
        <v>94</v>
      </c>
    </row>
    <row r="264" spans="1:7" ht="22.5" customHeight="1" x14ac:dyDescent="0.2">
      <c r="A264" s="2" t="str">
        <f ca="1">IFERROR(__xludf.DUMMYFUNCTION("""COMPUTED_VALUE"""),"2024-01-14")</f>
        <v>2024-01-14</v>
      </c>
      <c r="B264" s="10" t="str">
        <f ca="1">IFERROR(__xludf.DUMMYFUNCTION("""COMPUTED_VALUE"""),"TikTok")</f>
        <v>TikTok</v>
      </c>
      <c r="C264" s="10" t="str">
        <f ca="1">IFERROR(__xludf.DUMMYFUNCTION("""COMPUTED_VALUE"""),"Awareness_GenZ")</f>
        <v>Awareness_GenZ</v>
      </c>
      <c r="D264" s="2">
        <f ca="1">IFERROR(__xludf.DUMMYFUNCTION("""COMPUTED_VALUE"""),223456)</f>
        <v>223456</v>
      </c>
      <c r="E264" s="2">
        <f ca="1">IFERROR(__xludf.DUMMYFUNCTION("""COMPUTED_VALUE"""),3234)</f>
        <v>3234</v>
      </c>
      <c r="F264" s="2">
        <f ca="1">IFERROR(__xludf.DUMMYFUNCTION("""COMPUTED_VALUE"""),434.5)</f>
        <v>434.5</v>
      </c>
      <c r="G264" s="2">
        <f ca="1">IFERROR(__xludf.DUMMYFUNCTION("""COMPUTED_VALUE"""),32)</f>
        <v>32</v>
      </c>
    </row>
    <row r="265" spans="1:7" ht="22.5" customHeight="1" x14ac:dyDescent="0.2">
      <c r="A265" s="2" t="str">
        <f ca="1">IFERROR(__xludf.DUMMYFUNCTION("""COMPUTED_VALUE"""),"2024-01-14")</f>
        <v>2024-01-14</v>
      </c>
      <c r="B265" s="10" t="str">
        <f ca="1">IFERROR(__xludf.DUMMYFUNCTION("""COMPUTED_VALUE"""),"TikTok")</f>
        <v>TikTok</v>
      </c>
      <c r="C265" s="10" t="str">
        <f ca="1">IFERROR(__xludf.DUMMYFUNCTION("""COMPUTED_VALUE"""),"Conversion_Focus")</f>
        <v>Conversion_Focus</v>
      </c>
      <c r="D265" s="2">
        <f ca="1">IFERROR(__xludf.DUMMYFUNCTION("""COMPUTED_VALUE"""),128901)</f>
        <v>128901</v>
      </c>
      <c r="E265" s="2">
        <f ca="1">IFERROR(__xludf.DUMMYFUNCTION("""COMPUTED_VALUE"""),2456)</f>
        <v>2456</v>
      </c>
      <c r="F265" s="2">
        <f ca="1">IFERROR(__xludf.DUMMYFUNCTION("""COMPUTED_VALUE"""),689.5)</f>
        <v>689.5</v>
      </c>
      <c r="G265" s="2">
        <f ca="1">IFERROR(__xludf.DUMMYFUNCTION("""COMPUTED_VALUE"""),68)</f>
        <v>68</v>
      </c>
    </row>
    <row r="266" spans="1:7" ht="22.5" customHeight="1" x14ac:dyDescent="0.2">
      <c r="A266" s="2" t="str">
        <f ca="1">IFERROR(__xludf.DUMMYFUNCTION("""COMPUTED_VALUE"""),"2024-01-14")</f>
        <v>2024-01-14</v>
      </c>
      <c r="B266" s="10" t="str">
        <f ca="1">IFERROR(__xludf.DUMMYFUNCTION("""COMPUTED_VALUE"""),"TikTok")</f>
        <v>TikTok</v>
      </c>
      <c r="C266" s="10" t="str">
        <f ca="1">IFERROR(__xludf.DUMMYFUNCTION("""COMPUTED_VALUE"""),"Traffic_Campaign")</f>
        <v>Traffic_Campaign</v>
      </c>
      <c r="D266" s="2">
        <f ca="1">IFERROR(__xludf.DUMMYFUNCTION("""COMPUTED_VALUE"""),195678)</f>
        <v>195678</v>
      </c>
      <c r="E266" s="2">
        <f ca="1">IFERROR(__xludf.DUMMYFUNCTION("""COMPUTED_VALUE"""),2989)</f>
        <v>2989</v>
      </c>
      <c r="F266" s="2">
        <f ca="1">IFERROR(__xludf.DUMMYFUNCTION("""COMPUTED_VALUE"""),361.2)</f>
        <v>361.2</v>
      </c>
      <c r="G266" s="2">
        <f ca="1">IFERROR(__xludf.DUMMYFUNCTION("""COMPUTED_VALUE"""),25)</f>
        <v>25</v>
      </c>
    </row>
    <row r="267" spans="1:7" ht="22.5" customHeight="1" x14ac:dyDescent="0.2">
      <c r="A267" s="2" t="str">
        <f ca="1">IFERROR(__xludf.DUMMYFUNCTION("""COMPUTED_VALUE"""),"2024-01-14")</f>
        <v>2024-01-14</v>
      </c>
      <c r="B267" s="10" t="str">
        <f ca="1">IFERROR(__xludf.DUMMYFUNCTION("""COMPUTED_VALUE"""),"TikTok")</f>
        <v>TikTok</v>
      </c>
      <c r="C267" s="10" t="str">
        <f ca="1">IFERROR(__xludf.DUMMYFUNCTION("""COMPUTED_VALUE"""),"Influencer_Collab")</f>
        <v>Influencer_Collab</v>
      </c>
      <c r="D267" s="2">
        <f ca="1">IFERROR(__xludf.DUMMYFUNCTION("""COMPUTED_VALUE"""),356789)</f>
        <v>356789</v>
      </c>
      <c r="E267" s="2">
        <f ca="1">IFERROR(__xludf.DUMMYFUNCTION("""COMPUTED_VALUE"""),5834)</f>
        <v>5834</v>
      </c>
      <c r="F267" s="2">
        <f ca="1">IFERROR(__xludf.DUMMYFUNCTION("""COMPUTED_VALUE"""),901.2)</f>
        <v>901.2</v>
      </c>
      <c r="G267" s="2">
        <f ca="1">IFERROR(__xludf.DUMMYFUNCTION("""COMPUTED_VALUE"""),91)</f>
        <v>91</v>
      </c>
    </row>
    <row r="268" spans="1:7" ht="22.5" customHeight="1" x14ac:dyDescent="0.2">
      <c r="A268" s="2" t="str">
        <f ca="1">IFERROR(__xludf.DUMMYFUNCTION("""COMPUTED_VALUE"""),"2024-01-15")</f>
        <v>2024-01-15</v>
      </c>
      <c r="B268" s="10" t="str">
        <f ca="1">IFERROR(__xludf.DUMMYFUNCTION("""COMPUTED_VALUE"""),"TikTok")</f>
        <v>TikTok</v>
      </c>
      <c r="C268" s="10" t="str">
        <f ca="1">IFERROR(__xludf.DUMMYFUNCTION("""COMPUTED_VALUE"""),"Awareness_GenZ")</f>
        <v>Awareness_GenZ</v>
      </c>
      <c r="D268" s="2">
        <f ca="1">IFERROR(__xludf.DUMMYFUNCTION("""COMPUTED_VALUE"""),246789)</f>
        <v>246789</v>
      </c>
      <c r="E268" s="2">
        <f ca="1">IFERROR(__xludf.DUMMYFUNCTION("""COMPUTED_VALUE"""),3678)</f>
        <v>3678</v>
      </c>
      <c r="F268" s="2">
        <f ca="1">IFERROR(__xludf.DUMMYFUNCTION("""COMPUTED_VALUE"""),478.9)</f>
        <v>478.9</v>
      </c>
      <c r="G268" s="2">
        <f ca="1">IFERROR(__xludf.DUMMYFUNCTION("""COMPUTED_VALUE"""),36)</f>
        <v>36</v>
      </c>
    </row>
    <row r="269" spans="1:7" ht="22.5" customHeight="1" x14ac:dyDescent="0.2">
      <c r="A269" s="2" t="str">
        <f ca="1">IFERROR(__xludf.DUMMYFUNCTION("""COMPUTED_VALUE"""),"2024-01-15")</f>
        <v>2024-01-15</v>
      </c>
      <c r="B269" s="10" t="str">
        <f ca="1">IFERROR(__xludf.DUMMYFUNCTION("""COMPUTED_VALUE"""),"TikTok")</f>
        <v>TikTok</v>
      </c>
      <c r="C269" s="10" t="str">
        <f ca="1">IFERROR(__xludf.DUMMYFUNCTION("""COMPUTED_VALUE"""),"Conversion_Focus")</f>
        <v>Conversion_Focus</v>
      </c>
      <c r="D269" s="2">
        <f ca="1">IFERROR(__xludf.DUMMYFUNCTION("""COMPUTED_VALUE"""),142345)</f>
        <v>142345</v>
      </c>
      <c r="E269" s="2">
        <f ca="1">IFERROR(__xludf.DUMMYFUNCTION("""COMPUTED_VALUE"""),2678)</f>
        <v>2678</v>
      </c>
      <c r="F269" s="2">
        <f ca="1">IFERROR(__xludf.DUMMYFUNCTION("""COMPUTED_VALUE"""),734.5)</f>
        <v>734.5</v>
      </c>
      <c r="G269" s="2">
        <f ca="1">IFERROR(__xludf.DUMMYFUNCTION("""COMPUTED_VALUE"""),73)</f>
        <v>73</v>
      </c>
    </row>
    <row r="270" spans="1:7" ht="22.5" customHeight="1" x14ac:dyDescent="0.2">
      <c r="A270" s="2" t="str">
        <f ca="1">IFERROR(__xludf.DUMMYFUNCTION("""COMPUTED_VALUE"""),"2024-01-15")</f>
        <v>2024-01-15</v>
      </c>
      <c r="B270" s="10" t="str">
        <f ca="1">IFERROR(__xludf.DUMMYFUNCTION("""COMPUTED_VALUE"""),"TikTok")</f>
        <v>TikTok</v>
      </c>
      <c r="C270" s="10" t="str">
        <f ca="1">IFERROR(__xludf.DUMMYFUNCTION("""COMPUTED_VALUE"""),"Traffic_Campaign")</f>
        <v>Traffic_Campaign</v>
      </c>
      <c r="D270" s="2">
        <f ca="1">IFERROR(__xludf.DUMMYFUNCTION("""COMPUTED_VALUE"""),212345)</f>
        <v>212345</v>
      </c>
      <c r="E270" s="2">
        <f ca="1">IFERROR(__xludf.DUMMYFUNCTION("""COMPUTED_VALUE"""),3345)</f>
        <v>3345</v>
      </c>
      <c r="F270" s="2">
        <f ca="1">IFERROR(__xludf.DUMMYFUNCTION("""COMPUTED_VALUE"""),401.1)</f>
        <v>401.1</v>
      </c>
      <c r="G270" s="2">
        <f ca="1">IFERROR(__xludf.DUMMYFUNCTION("""COMPUTED_VALUE"""),28)</f>
        <v>28</v>
      </c>
    </row>
    <row r="271" spans="1:7" ht="22.5" customHeight="1" x14ac:dyDescent="0.2">
      <c r="A271" s="2" t="str">
        <f ca="1">IFERROR(__xludf.DUMMYFUNCTION("""COMPUTED_VALUE"""),"2024-01-15")</f>
        <v>2024-01-15</v>
      </c>
      <c r="B271" s="10" t="str">
        <f ca="1">IFERROR(__xludf.DUMMYFUNCTION("""COMPUTED_VALUE"""),"TikTok")</f>
        <v>TikTok</v>
      </c>
      <c r="C271" s="10" t="str">
        <f ca="1">IFERROR(__xludf.DUMMYFUNCTION("""COMPUTED_VALUE"""),"Influencer_Collab")</f>
        <v>Influencer_Collab</v>
      </c>
      <c r="D271" s="2">
        <f ca="1">IFERROR(__xludf.DUMMYFUNCTION("""COMPUTED_VALUE"""),378901)</f>
        <v>378901</v>
      </c>
      <c r="E271" s="2">
        <f ca="1">IFERROR(__xludf.DUMMYFUNCTION("""COMPUTED_VALUE"""),6123)</f>
        <v>6123</v>
      </c>
      <c r="F271" s="2">
        <f ca="1">IFERROR(__xludf.DUMMYFUNCTION("""COMPUTED_VALUE"""),945.6)</f>
        <v>945.6</v>
      </c>
      <c r="G271" s="2">
        <f ca="1">IFERROR(__xludf.DUMMYFUNCTION("""COMPUTED_VALUE"""),96)</f>
        <v>96</v>
      </c>
    </row>
    <row r="272" spans="1:7" ht="22.5" customHeight="1" x14ac:dyDescent="0.2">
      <c r="A272" s="2" t="str">
        <f ca="1">IFERROR(__xludf.DUMMYFUNCTION("""COMPUTED_VALUE"""),"2024-01-16")</f>
        <v>2024-01-16</v>
      </c>
      <c r="B272" s="10" t="str">
        <f ca="1">IFERROR(__xludf.DUMMYFUNCTION("""COMPUTED_VALUE"""),"TikTok")</f>
        <v>TikTok</v>
      </c>
      <c r="C272" s="10" t="str">
        <f ca="1">IFERROR(__xludf.DUMMYFUNCTION("""COMPUTED_VALUE"""),"Awareness_GenZ")</f>
        <v>Awareness_GenZ</v>
      </c>
      <c r="D272" s="2">
        <f ca="1">IFERROR(__xludf.DUMMYFUNCTION("""COMPUTED_VALUE"""),289012)</f>
        <v>289012</v>
      </c>
      <c r="E272" s="2">
        <f ca="1">IFERROR(__xludf.DUMMYFUNCTION("""COMPUTED_VALUE"""),4234)</f>
        <v>4234</v>
      </c>
      <c r="F272" s="2">
        <f ca="1">IFERROR(__xludf.DUMMYFUNCTION("""COMPUTED_VALUE"""),556.7)</f>
        <v>556.70000000000005</v>
      </c>
      <c r="G272" s="2">
        <f ca="1">IFERROR(__xludf.DUMMYFUNCTION("""COMPUTED_VALUE"""),43)</f>
        <v>43</v>
      </c>
    </row>
    <row r="273" spans="1:7" ht="22.5" customHeight="1" x14ac:dyDescent="0.2">
      <c r="A273" s="2" t="str">
        <f ca="1">IFERROR(__xludf.DUMMYFUNCTION("""COMPUTED_VALUE"""),"2024-01-16")</f>
        <v>2024-01-16</v>
      </c>
      <c r="B273" s="10" t="str">
        <f ca="1">IFERROR(__xludf.DUMMYFUNCTION("""COMPUTED_VALUE"""),"TikTok")</f>
        <v>TikTok</v>
      </c>
      <c r="C273" s="10" t="str">
        <f ca="1">IFERROR(__xludf.DUMMYFUNCTION("""COMPUTED_VALUE"""),"Conversion_Focus")</f>
        <v>Conversion_Focus</v>
      </c>
      <c r="D273" s="2">
        <f ca="1">IFERROR(__xludf.DUMMYFUNCTION("""COMPUTED_VALUE"""),156789)</f>
        <v>156789</v>
      </c>
      <c r="E273" s="2">
        <f ca="1">IFERROR(__xludf.DUMMYFUNCTION("""COMPUTED_VALUE"""),3012)</f>
        <v>3012</v>
      </c>
      <c r="F273" s="2">
        <f ca="1">IFERROR(__xludf.DUMMYFUNCTION("""COMPUTED_VALUE"""),812.3)</f>
        <v>812.3</v>
      </c>
      <c r="G273" s="2">
        <f ca="1">IFERROR(__xludf.DUMMYFUNCTION("""COMPUTED_VALUE"""),82)</f>
        <v>82</v>
      </c>
    </row>
    <row r="274" spans="1:7" ht="22.5" customHeight="1" x14ac:dyDescent="0.2">
      <c r="A274" s="2" t="str">
        <f ca="1">IFERROR(__xludf.DUMMYFUNCTION("""COMPUTED_VALUE"""),"2024-01-16")</f>
        <v>2024-01-16</v>
      </c>
      <c r="B274" s="10" t="str">
        <f ca="1">IFERROR(__xludf.DUMMYFUNCTION("""COMPUTED_VALUE"""),"TikTok")</f>
        <v>TikTok</v>
      </c>
      <c r="C274" s="10" t="str">
        <f ca="1">IFERROR(__xludf.DUMMYFUNCTION("""COMPUTED_VALUE"""),"Traffic_Campaign")</f>
        <v>Traffic_Campaign</v>
      </c>
      <c r="D274" s="2">
        <f ca="1">IFERROR(__xludf.DUMMYFUNCTION("""COMPUTED_VALUE"""),245678)</f>
        <v>245678</v>
      </c>
      <c r="E274" s="2">
        <f ca="1">IFERROR(__xludf.DUMMYFUNCTION("""COMPUTED_VALUE"""),3890)</f>
        <v>3890</v>
      </c>
      <c r="F274" s="2">
        <f ca="1">IFERROR(__xludf.DUMMYFUNCTION("""COMPUTED_VALUE"""),467.8)</f>
        <v>467.8</v>
      </c>
      <c r="G274" s="2">
        <f ca="1">IFERROR(__xludf.DUMMYFUNCTION("""COMPUTED_VALUE"""),34)</f>
        <v>34</v>
      </c>
    </row>
    <row r="275" spans="1:7" ht="22.5" customHeight="1" x14ac:dyDescent="0.2">
      <c r="A275" s="2" t="str">
        <f ca="1">IFERROR(__xludf.DUMMYFUNCTION("""COMPUTED_VALUE"""),"2024-01-16")</f>
        <v>2024-01-16</v>
      </c>
      <c r="B275" s="10" t="str">
        <f ca="1">IFERROR(__xludf.DUMMYFUNCTION("""COMPUTED_VALUE"""),"TikTok")</f>
        <v>TikTok</v>
      </c>
      <c r="C275" s="10" t="str">
        <f ca="1">IFERROR(__xludf.DUMMYFUNCTION("""COMPUTED_VALUE"""),"Influencer_Collab")</f>
        <v>Influencer_Collab</v>
      </c>
      <c r="D275" s="2">
        <f ca="1">IFERROR(__xludf.DUMMYFUNCTION("""COMPUTED_VALUE"""),423456)</f>
        <v>423456</v>
      </c>
      <c r="E275" s="2">
        <f ca="1">IFERROR(__xludf.DUMMYFUNCTION("""COMPUTED_VALUE"""),6890)</f>
        <v>6890</v>
      </c>
      <c r="F275" s="2">
        <f ca="1">IFERROR(__xludf.DUMMYFUNCTION("""COMPUTED_VALUE"""),1056.8)</f>
        <v>1056.8</v>
      </c>
      <c r="G275" s="2">
        <f ca="1">IFERROR(__xludf.DUMMYFUNCTION("""COMPUTED_VALUE"""),107)</f>
        <v>107</v>
      </c>
    </row>
    <row r="276" spans="1:7" ht="22.5" customHeight="1" x14ac:dyDescent="0.2">
      <c r="A276" s="2" t="str">
        <f ca="1">IFERROR(__xludf.DUMMYFUNCTION("""COMPUTED_VALUE"""),"2024-01-17")</f>
        <v>2024-01-17</v>
      </c>
      <c r="B276" s="10" t="str">
        <f ca="1">IFERROR(__xludf.DUMMYFUNCTION("""COMPUTED_VALUE"""),"TikTok")</f>
        <v>TikTok</v>
      </c>
      <c r="C276" s="10" t="str">
        <f ca="1">IFERROR(__xludf.DUMMYFUNCTION("""COMPUTED_VALUE"""),"Awareness_GenZ")</f>
        <v>Awareness_GenZ</v>
      </c>
      <c r="D276" s="2">
        <f ca="1">IFERROR(__xludf.DUMMYFUNCTION("""COMPUTED_VALUE"""),301234)</f>
        <v>301234</v>
      </c>
      <c r="E276" s="2">
        <f ca="1">IFERROR(__xludf.DUMMYFUNCTION("""COMPUTED_VALUE"""),4456)</f>
        <v>4456</v>
      </c>
      <c r="F276" s="2">
        <f ca="1">IFERROR(__xludf.DUMMYFUNCTION("""COMPUTED_VALUE"""),589.9)</f>
        <v>589.9</v>
      </c>
      <c r="G276" s="2">
        <f ca="1">IFERROR(__xludf.DUMMYFUNCTION("""COMPUTED_VALUE"""),46)</f>
        <v>46</v>
      </c>
    </row>
    <row r="277" spans="1:7" ht="22.5" customHeight="1" x14ac:dyDescent="0.2">
      <c r="A277" s="2" t="str">
        <f ca="1">IFERROR(__xludf.DUMMYFUNCTION("""COMPUTED_VALUE"""),"2024-01-17")</f>
        <v>2024-01-17</v>
      </c>
      <c r="B277" s="10" t="str">
        <f ca="1">IFERROR(__xludf.DUMMYFUNCTION("""COMPUTED_VALUE"""),"TikTok")</f>
        <v>TikTok</v>
      </c>
      <c r="C277" s="10" t="str">
        <f ca="1">IFERROR(__xludf.DUMMYFUNCTION("""COMPUTED_VALUE"""),"Conversion_Focus")</f>
        <v>Conversion_Focus</v>
      </c>
      <c r="D277" s="2">
        <f ca="1">IFERROR(__xludf.DUMMYFUNCTION("""COMPUTED_VALUE"""),167890)</f>
        <v>167890</v>
      </c>
      <c r="E277" s="2">
        <f ca="1">IFERROR(__xludf.DUMMYFUNCTION("""COMPUTED_VALUE"""),3234)</f>
        <v>3234</v>
      </c>
      <c r="F277" s="2">
        <f ca="1">IFERROR(__xludf.DUMMYFUNCTION("""COMPUTED_VALUE"""),845.6)</f>
        <v>845.6</v>
      </c>
      <c r="G277" s="2">
        <f ca="1">IFERROR(__xludf.DUMMYFUNCTION("""COMPUTED_VALUE"""),85)</f>
        <v>85</v>
      </c>
    </row>
    <row r="278" spans="1:7" ht="22.5" customHeight="1" x14ac:dyDescent="0.2">
      <c r="A278" s="2" t="str">
        <f ca="1">IFERROR(__xludf.DUMMYFUNCTION("""COMPUTED_VALUE"""),"2024-01-17")</f>
        <v>2024-01-17</v>
      </c>
      <c r="B278" s="10" t="str">
        <f ca="1">IFERROR(__xludf.DUMMYFUNCTION("""COMPUTED_VALUE"""),"TikTok")</f>
        <v>TikTok</v>
      </c>
      <c r="C278" s="10" t="str">
        <f ca="1">IFERROR(__xludf.DUMMYFUNCTION("""COMPUTED_VALUE"""),"Traffic_Campaign")</f>
        <v>Traffic_Campaign</v>
      </c>
      <c r="D278" s="2">
        <f ca="1">IFERROR(__xludf.DUMMYFUNCTION("""COMPUTED_VALUE"""),256789)</f>
        <v>256789</v>
      </c>
      <c r="E278" s="2">
        <f ca="1">IFERROR(__xludf.DUMMYFUNCTION("""COMPUTED_VALUE"""),4012)</f>
        <v>4012</v>
      </c>
      <c r="F278" s="2">
        <f ca="1">IFERROR(__xludf.DUMMYFUNCTION("""COMPUTED_VALUE"""),489.2)</f>
        <v>489.2</v>
      </c>
      <c r="G278" s="2">
        <f ca="1">IFERROR(__xludf.DUMMYFUNCTION("""COMPUTED_VALUE"""),36)</f>
        <v>36</v>
      </c>
    </row>
    <row r="279" spans="1:7" ht="22.5" customHeight="1" x14ac:dyDescent="0.2">
      <c r="A279" s="2" t="str">
        <f ca="1">IFERROR(__xludf.DUMMYFUNCTION("""COMPUTED_VALUE"""),"2024-01-17")</f>
        <v>2024-01-17</v>
      </c>
      <c r="B279" s="10" t="str">
        <f ca="1">IFERROR(__xludf.DUMMYFUNCTION("""COMPUTED_VALUE"""),"TikTok")</f>
        <v>TikTok</v>
      </c>
      <c r="C279" s="10" t="str">
        <f ca="1">IFERROR(__xludf.DUMMYFUNCTION("""COMPUTED_VALUE"""),"Influencer_Collab")</f>
        <v>Influencer_Collab</v>
      </c>
      <c r="D279" s="2">
        <f ca="1">IFERROR(__xludf.DUMMYFUNCTION("""COMPUTED_VALUE"""),445678)</f>
        <v>445678</v>
      </c>
      <c r="E279" s="2">
        <f ca="1">IFERROR(__xludf.DUMMYFUNCTION("""COMPUTED_VALUE"""),7234)</f>
        <v>7234</v>
      </c>
      <c r="F279" s="2">
        <f ca="1">IFERROR(__xludf.DUMMYFUNCTION("""COMPUTED_VALUE"""),1123.5)</f>
        <v>1123.5</v>
      </c>
      <c r="G279" s="2">
        <f ca="1">IFERROR(__xludf.DUMMYFUNCTION("""COMPUTED_VALUE"""),113)</f>
        <v>113</v>
      </c>
    </row>
    <row r="280" spans="1:7" ht="22.5" customHeight="1" x14ac:dyDescent="0.2">
      <c r="A280" s="2" t="str">
        <f ca="1">IFERROR(__xludf.DUMMYFUNCTION("""COMPUTED_VALUE"""),"2024-01-18")</f>
        <v>2024-01-18</v>
      </c>
      <c r="B280" s="10" t="str">
        <f ca="1">IFERROR(__xludf.DUMMYFUNCTION("""COMPUTED_VALUE"""),"TikTok")</f>
        <v>TikTok</v>
      </c>
      <c r="C280" s="10" t="str">
        <f ca="1">IFERROR(__xludf.DUMMYFUNCTION("""COMPUTED_VALUE"""),"Awareness_GenZ")</f>
        <v>Awareness_GenZ</v>
      </c>
      <c r="D280" s="2">
        <f ca="1">IFERROR(__xludf.DUMMYFUNCTION("""COMPUTED_VALUE"""),290123)</f>
        <v>290123</v>
      </c>
      <c r="E280" s="2">
        <f ca="1">IFERROR(__xludf.DUMMYFUNCTION("""COMPUTED_VALUE"""),4189)</f>
        <v>4189</v>
      </c>
      <c r="F280" s="2">
        <f ca="1">IFERROR(__xludf.DUMMYFUNCTION("""COMPUTED_VALUE"""),567.8)</f>
        <v>567.79999999999995</v>
      </c>
      <c r="G280" s="2">
        <f ca="1">IFERROR(__xludf.DUMMYFUNCTION("""COMPUTED_VALUE"""),44)</f>
        <v>44</v>
      </c>
    </row>
    <row r="281" spans="1:7" ht="22.5" customHeight="1" x14ac:dyDescent="0.2">
      <c r="A281" s="2" t="str">
        <f ca="1">IFERROR(__xludf.DUMMYFUNCTION("""COMPUTED_VALUE"""),"2024-01-18")</f>
        <v>2024-01-18</v>
      </c>
      <c r="B281" s="10" t="str">
        <f ca="1">IFERROR(__xludf.DUMMYFUNCTION("""COMPUTED_VALUE"""),"TikTok")</f>
        <v>TikTok</v>
      </c>
      <c r="C281" s="10" t="str">
        <f ca="1">IFERROR(__xludf.DUMMYFUNCTION("""COMPUTED_VALUE"""),"Conversion_Focus")</f>
        <v>Conversion_Focus</v>
      </c>
      <c r="D281" s="2">
        <f ca="1">IFERROR(__xludf.DUMMYFUNCTION("""COMPUTED_VALUE"""),161234)</f>
        <v>161234</v>
      </c>
      <c r="E281" s="2">
        <f ca="1">IFERROR(__xludf.DUMMYFUNCTION("""COMPUTED_VALUE"""),3089)</f>
        <v>3089</v>
      </c>
      <c r="F281" s="2">
        <f ca="1">IFERROR(__xludf.DUMMYFUNCTION("""COMPUTED_VALUE"""),823.7)</f>
        <v>823.7</v>
      </c>
      <c r="G281" s="2">
        <f ca="1">IFERROR(__xludf.DUMMYFUNCTION("""COMPUTED_VALUE"""),83)</f>
        <v>83</v>
      </c>
    </row>
    <row r="282" spans="1:7" ht="22.5" customHeight="1" x14ac:dyDescent="0.2">
      <c r="A282" s="2" t="str">
        <f ca="1">IFERROR(__xludf.DUMMYFUNCTION("""COMPUTED_VALUE"""),"2024-01-18")</f>
        <v>2024-01-18</v>
      </c>
      <c r="B282" s="10" t="str">
        <f ca="1">IFERROR(__xludf.DUMMYFUNCTION("""COMPUTED_VALUE"""),"TikTok")</f>
        <v>TikTok</v>
      </c>
      <c r="C282" s="10" t="str">
        <f ca="1">IFERROR(__xludf.DUMMYFUNCTION("""COMPUTED_VALUE"""),"Traffic_Campaign")</f>
        <v>Traffic_Campaign</v>
      </c>
      <c r="D282" s="2">
        <f ca="1">IFERROR(__xludf.DUMMYFUNCTION("""COMPUTED_VALUE"""),248901)</f>
        <v>248901</v>
      </c>
      <c r="E282" s="2">
        <f ca="1">IFERROR(__xludf.DUMMYFUNCTION("""COMPUTED_VALUE"""),3934)</f>
        <v>3934</v>
      </c>
      <c r="F282" s="2">
        <f ca="1">IFERROR(__xludf.DUMMYFUNCTION("""COMPUTED_VALUE"""),478.5)</f>
        <v>478.5</v>
      </c>
      <c r="G282" s="2">
        <f ca="1">IFERROR(__xludf.DUMMYFUNCTION("""COMPUTED_VALUE"""),35)</f>
        <v>35</v>
      </c>
    </row>
    <row r="283" spans="1:7" ht="22.5" customHeight="1" x14ac:dyDescent="0.2">
      <c r="A283" s="2" t="str">
        <f ca="1">IFERROR(__xludf.DUMMYFUNCTION("""COMPUTED_VALUE"""),"2024-01-18")</f>
        <v>2024-01-18</v>
      </c>
      <c r="B283" s="10" t="str">
        <f ca="1">IFERROR(__xludf.DUMMYFUNCTION("""COMPUTED_VALUE"""),"TikTok")</f>
        <v>TikTok</v>
      </c>
      <c r="C283" s="10" t="str">
        <f ca="1">IFERROR(__xludf.DUMMYFUNCTION("""COMPUTED_VALUE"""),"Influencer_Collab")</f>
        <v>Influencer_Collab</v>
      </c>
      <c r="D283" s="2">
        <f ca="1">IFERROR(__xludf.DUMMYFUNCTION("""COMPUTED_VALUE"""),434567)</f>
        <v>434567</v>
      </c>
      <c r="E283" s="2">
        <f ca="1">IFERROR(__xludf.DUMMYFUNCTION("""COMPUTED_VALUE"""),7012)</f>
        <v>7012</v>
      </c>
      <c r="F283" s="2">
        <f ca="1">IFERROR(__xludf.DUMMYFUNCTION("""COMPUTED_VALUE"""),1089.3)</f>
        <v>1089.3</v>
      </c>
      <c r="G283" s="2">
        <f ca="1">IFERROR(__xludf.DUMMYFUNCTION("""COMPUTED_VALUE"""),109)</f>
        <v>109</v>
      </c>
    </row>
    <row r="284" spans="1:7" ht="22.5" customHeight="1" x14ac:dyDescent="0.2">
      <c r="A284" s="2" t="str">
        <f ca="1">IFERROR(__xludf.DUMMYFUNCTION("""COMPUTED_VALUE"""),"2024-01-19")</f>
        <v>2024-01-19</v>
      </c>
      <c r="B284" s="10" t="str">
        <f ca="1">IFERROR(__xludf.DUMMYFUNCTION("""COMPUTED_VALUE"""),"TikTok")</f>
        <v>TikTok</v>
      </c>
      <c r="C284" s="10" t="str">
        <f ca="1">IFERROR(__xludf.DUMMYFUNCTION("""COMPUTED_VALUE"""),"Awareness_GenZ")</f>
        <v>Awareness_GenZ</v>
      </c>
      <c r="D284" s="2">
        <f ca="1">IFERROR(__xludf.DUMMYFUNCTION("""COMPUTED_VALUE"""),278901)</f>
        <v>278901</v>
      </c>
      <c r="E284" s="2">
        <f ca="1">IFERROR(__xludf.DUMMYFUNCTION("""COMPUTED_VALUE"""),4123)</f>
        <v>4123</v>
      </c>
      <c r="F284" s="2">
        <f ca="1">IFERROR(__xludf.DUMMYFUNCTION("""COMPUTED_VALUE"""),545.6)</f>
        <v>545.6</v>
      </c>
      <c r="G284" s="2">
        <f ca="1">IFERROR(__xludf.DUMMYFUNCTION("""COMPUTED_VALUE"""),42)</f>
        <v>42</v>
      </c>
    </row>
    <row r="285" spans="1:7" ht="22.5" customHeight="1" x14ac:dyDescent="0.2">
      <c r="A285" s="2" t="str">
        <f ca="1">IFERROR(__xludf.DUMMYFUNCTION("""COMPUTED_VALUE"""),"2024-01-19")</f>
        <v>2024-01-19</v>
      </c>
      <c r="B285" s="10" t="str">
        <f ca="1">IFERROR(__xludf.DUMMYFUNCTION("""COMPUTED_VALUE"""),"TikTok")</f>
        <v>TikTok</v>
      </c>
      <c r="C285" s="10" t="str">
        <f ca="1">IFERROR(__xludf.DUMMYFUNCTION("""COMPUTED_VALUE"""),"Conversion_Focus")</f>
        <v>Conversion_Focus</v>
      </c>
      <c r="D285" s="2">
        <f ca="1">IFERROR(__xludf.DUMMYFUNCTION("""COMPUTED_VALUE"""),153456)</f>
        <v>153456</v>
      </c>
      <c r="E285" s="2">
        <f ca="1">IFERROR(__xludf.DUMMYFUNCTION("""COMPUTED_VALUE"""),2945)</f>
        <v>2945</v>
      </c>
      <c r="F285" s="2">
        <f ca="1">IFERROR(__xludf.DUMMYFUNCTION("""COMPUTED_VALUE"""),789.2)</f>
        <v>789.2</v>
      </c>
      <c r="G285" s="2">
        <f ca="1">IFERROR(__xludf.DUMMYFUNCTION("""COMPUTED_VALUE"""),79)</f>
        <v>79</v>
      </c>
    </row>
    <row r="286" spans="1:7" ht="22.5" customHeight="1" x14ac:dyDescent="0.2">
      <c r="A286" s="2" t="str">
        <f ca="1">IFERROR(__xludf.DUMMYFUNCTION("""COMPUTED_VALUE"""),"2024-01-19")</f>
        <v>2024-01-19</v>
      </c>
      <c r="B286" s="10" t="str">
        <f ca="1">IFERROR(__xludf.DUMMYFUNCTION("""COMPUTED_VALUE"""),"TikTok")</f>
        <v>TikTok</v>
      </c>
      <c r="C286" s="10" t="str">
        <f ca="1">IFERROR(__xludf.DUMMYFUNCTION("""COMPUTED_VALUE"""),"Traffic_Campaign")</f>
        <v>Traffic_Campaign</v>
      </c>
      <c r="D286" s="2">
        <f ca="1">IFERROR(__xludf.DUMMYFUNCTION("""COMPUTED_VALUE"""),236789)</f>
        <v>236789</v>
      </c>
      <c r="E286" s="2">
        <f ca="1">IFERROR(__xludf.DUMMYFUNCTION("""COMPUTED_VALUE"""),3734)</f>
        <v>3734</v>
      </c>
      <c r="F286" s="2">
        <f ca="1">IFERROR(__xludf.DUMMYFUNCTION("""COMPUTED_VALUE"""),456.8)</f>
        <v>456.8</v>
      </c>
      <c r="G286" s="2">
        <f ca="1">IFERROR(__xludf.DUMMYFUNCTION("""COMPUTED_VALUE"""),33)</f>
        <v>33</v>
      </c>
    </row>
    <row r="287" spans="1:7" ht="22.5" customHeight="1" x14ac:dyDescent="0.2">
      <c r="A287" s="2" t="str">
        <f ca="1">IFERROR(__xludf.DUMMYFUNCTION("""COMPUTED_VALUE"""),"2024-01-19")</f>
        <v>2024-01-19</v>
      </c>
      <c r="B287" s="10" t="str">
        <f ca="1">IFERROR(__xludf.DUMMYFUNCTION("""COMPUTED_VALUE"""),"TikTok")</f>
        <v>TikTok</v>
      </c>
      <c r="C287" s="10" t="str">
        <f ca="1">IFERROR(__xludf.DUMMYFUNCTION("""COMPUTED_VALUE"""),"Influencer_Collab")</f>
        <v>Influencer_Collab</v>
      </c>
      <c r="D287" s="2">
        <f ca="1">IFERROR(__xludf.DUMMYFUNCTION("""COMPUTED_VALUE"""),423456)</f>
        <v>423456</v>
      </c>
      <c r="E287" s="2">
        <f ca="1">IFERROR(__xludf.DUMMYFUNCTION("""COMPUTED_VALUE"""),6789)</f>
        <v>6789</v>
      </c>
      <c r="F287" s="2">
        <f ca="1">IFERROR(__xludf.DUMMYFUNCTION("""COMPUTED_VALUE"""),1034.5)</f>
        <v>1034.5</v>
      </c>
      <c r="G287" s="2">
        <f ca="1">IFERROR(__xludf.DUMMYFUNCTION("""COMPUTED_VALUE"""),104)</f>
        <v>104</v>
      </c>
    </row>
    <row r="288" spans="1:7" ht="22.5" customHeight="1" x14ac:dyDescent="0.2">
      <c r="A288" s="2" t="str">
        <f ca="1">IFERROR(__xludf.DUMMYFUNCTION("""COMPUTED_VALUE"""),"2024-01-20")</f>
        <v>2024-01-20</v>
      </c>
      <c r="B288" s="10" t="str">
        <f ca="1">IFERROR(__xludf.DUMMYFUNCTION("""COMPUTED_VALUE"""),"TikTok")</f>
        <v>TikTok</v>
      </c>
      <c r="C288" s="10" t="str">
        <f ca="1">IFERROR(__xludf.DUMMYFUNCTION("""COMPUTED_VALUE"""),"Awareness_GenZ")</f>
        <v>Awareness_GenZ</v>
      </c>
      <c r="D288" s="2">
        <f ca="1">IFERROR(__xludf.DUMMYFUNCTION("""COMPUTED_VALUE"""),256234)</f>
        <v>256234</v>
      </c>
      <c r="E288" s="2">
        <f ca="1">IFERROR(__xludf.DUMMYFUNCTION("""COMPUTED_VALUE"""),3701)</f>
        <v>3701</v>
      </c>
      <c r="F288" s="2">
        <f ca="1">IFERROR(__xludf.DUMMYFUNCTION("""COMPUTED_VALUE"""),490.5)</f>
        <v>490.5</v>
      </c>
      <c r="G288" s="2">
        <f ca="1">IFERROR(__xludf.DUMMYFUNCTION("""COMPUTED_VALUE"""),38)</f>
        <v>38</v>
      </c>
    </row>
    <row r="289" spans="1:7" ht="22.5" customHeight="1" x14ac:dyDescent="0.2">
      <c r="A289" s="2" t="str">
        <f ca="1">IFERROR(__xludf.DUMMYFUNCTION("""COMPUTED_VALUE"""),"2024-01-20")</f>
        <v>2024-01-20</v>
      </c>
      <c r="B289" s="10" t="str">
        <f ca="1">IFERROR(__xludf.DUMMYFUNCTION("""COMPUTED_VALUE"""),"TikTok")</f>
        <v>TikTok</v>
      </c>
      <c r="C289" s="10" t="str">
        <f ca="1">IFERROR(__xludf.DUMMYFUNCTION("""COMPUTED_VALUE"""),"Conversion_Focus")</f>
        <v>Conversion_Focus</v>
      </c>
      <c r="D289" s="2">
        <f ca="1">IFERROR(__xludf.DUMMYFUNCTION("""COMPUTED_VALUE"""),142345)</f>
        <v>142345</v>
      </c>
      <c r="E289" s="2">
        <f ca="1">IFERROR(__xludf.DUMMYFUNCTION("""COMPUTED_VALUE"""),2678)</f>
        <v>2678</v>
      </c>
      <c r="F289" s="2">
        <f ca="1">IFERROR(__xludf.DUMMYFUNCTION("""COMPUTED_VALUE"""),734.5)</f>
        <v>734.5</v>
      </c>
      <c r="G289" s="2">
        <f ca="1">IFERROR(__xludf.DUMMYFUNCTION("""COMPUTED_VALUE"""),73)</f>
        <v>73</v>
      </c>
    </row>
    <row r="290" spans="1:7" ht="22.5" customHeight="1" x14ac:dyDescent="0.2">
      <c r="A290" s="2" t="str">
        <f ca="1">IFERROR(__xludf.DUMMYFUNCTION("""COMPUTED_VALUE"""),"2024-01-20")</f>
        <v>2024-01-20</v>
      </c>
      <c r="B290" s="10" t="str">
        <f ca="1">IFERROR(__xludf.DUMMYFUNCTION("""COMPUTED_VALUE"""),"TikTok")</f>
        <v>TikTok</v>
      </c>
      <c r="C290" s="10" t="str">
        <f ca="1">IFERROR(__xludf.DUMMYFUNCTION("""COMPUTED_VALUE"""),"Traffic_Campaign")</f>
        <v>Traffic_Campaign</v>
      </c>
      <c r="D290" s="2">
        <f ca="1">IFERROR(__xludf.DUMMYFUNCTION("""COMPUTED_VALUE"""),218901)</f>
        <v>218901</v>
      </c>
      <c r="E290" s="2">
        <f ca="1">IFERROR(__xludf.DUMMYFUNCTION("""COMPUTED_VALUE"""),3456)</f>
        <v>3456</v>
      </c>
      <c r="F290" s="2">
        <f ca="1">IFERROR(__xludf.DUMMYFUNCTION("""COMPUTED_VALUE"""),414.4)</f>
        <v>414.4</v>
      </c>
      <c r="G290" s="2">
        <f ca="1">IFERROR(__xludf.DUMMYFUNCTION("""COMPUTED_VALUE"""),29)</f>
        <v>29</v>
      </c>
    </row>
    <row r="291" spans="1:7" ht="22.5" customHeight="1" x14ac:dyDescent="0.2">
      <c r="A291" s="2" t="str">
        <f ca="1">IFERROR(__xludf.DUMMYFUNCTION("""COMPUTED_VALUE"""),"2024-01-20")</f>
        <v>2024-01-20</v>
      </c>
      <c r="B291" s="10" t="str">
        <f ca="1">IFERROR(__xludf.DUMMYFUNCTION("""COMPUTED_VALUE"""),"TikTok")</f>
        <v>TikTok</v>
      </c>
      <c r="C291" s="10" t="str">
        <f ca="1">IFERROR(__xludf.DUMMYFUNCTION("""COMPUTED_VALUE"""),"Influencer_Collab")</f>
        <v>Influencer_Collab</v>
      </c>
      <c r="D291" s="2">
        <f ca="1">IFERROR(__xludf.DUMMYFUNCTION("""COMPUTED_VALUE"""),389012)</f>
        <v>389012</v>
      </c>
      <c r="E291" s="2">
        <f ca="1">IFERROR(__xludf.DUMMYFUNCTION("""COMPUTED_VALUE"""),6234)</f>
        <v>6234</v>
      </c>
      <c r="F291" s="2">
        <f ca="1">IFERROR(__xludf.DUMMYFUNCTION("""COMPUTED_VALUE"""),967.8)</f>
        <v>967.8</v>
      </c>
      <c r="G291" s="2">
        <f ca="1">IFERROR(__xludf.DUMMYFUNCTION("""COMPUTED_VALUE"""),98)</f>
        <v>98</v>
      </c>
    </row>
    <row r="292" spans="1:7" ht="22.5" customHeight="1" x14ac:dyDescent="0.2">
      <c r="A292" s="2" t="str">
        <f ca="1">IFERROR(__xludf.DUMMYFUNCTION("""COMPUTED_VALUE"""),"2024-01-21")</f>
        <v>2024-01-21</v>
      </c>
      <c r="B292" s="10" t="str">
        <f ca="1">IFERROR(__xludf.DUMMYFUNCTION("""COMPUTED_VALUE"""),"TikTok")</f>
        <v>TikTok</v>
      </c>
      <c r="C292" s="10" t="str">
        <f ca="1">IFERROR(__xludf.DUMMYFUNCTION("""COMPUTED_VALUE"""),"Awareness_GenZ")</f>
        <v>Awareness_GenZ</v>
      </c>
      <c r="D292" s="2">
        <f ca="1">IFERROR(__xludf.DUMMYFUNCTION("""COMPUTED_VALUE"""),234567)</f>
        <v>234567</v>
      </c>
      <c r="E292" s="2">
        <f ca="1">IFERROR(__xludf.DUMMYFUNCTION("""COMPUTED_VALUE"""),3456)</f>
        <v>3456</v>
      </c>
      <c r="F292" s="2">
        <f ca="1">IFERROR(__xludf.DUMMYFUNCTION("""COMPUTED_VALUE"""),445.7)</f>
        <v>445.7</v>
      </c>
      <c r="G292" s="2">
        <f ca="1">IFERROR(__xludf.DUMMYFUNCTION("""COMPUTED_VALUE"""),34)</f>
        <v>34</v>
      </c>
    </row>
    <row r="293" spans="1:7" ht="22.5" customHeight="1" x14ac:dyDescent="0.2">
      <c r="A293" s="2" t="str">
        <f ca="1">IFERROR(__xludf.DUMMYFUNCTION("""COMPUTED_VALUE"""),"2024-01-21")</f>
        <v>2024-01-21</v>
      </c>
      <c r="B293" s="10" t="str">
        <f ca="1">IFERROR(__xludf.DUMMYFUNCTION("""COMPUTED_VALUE"""),"TikTok")</f>
        <v>TikTok</v>
      </c>
      <c r="C293" s="10" t="str">
        <f ca="1">IFERROR(__xludf.DUMMYFUNCTION("""COMPUTED_VALUE"""),"Conversion_Focus")</f>
        <v>Conversion_Focus</v>
      </c>
      <c r="D293" s="2">
        <f ca="1">IFERROR(__xludf.DUMMYFUNCTION("""COMPUTED_VALUE"""),128901)</f>
        <v>128901</v>
      </c>
      <c r="E293" s="2">
        <f ca="1">IFERROR(__xludf.DUMMYFUNCTION("""COMPUTED_VALUE"""),2456)</f>
        <v>2456</v>
      </c>
      <c r="F293" s="2">
        <f ca="1">IFERROR(__xludf.DUMMYFUNCTION("""COMPUTED_VALUE"""),678.9)</f>
        <v>678.9</v>
      </c>
      <c r="G293" s="2">
        <f ca="1">IFERROR(__xludf.DUMMYFUNCTION("""COMPUTED_VALUE"""),67)</f>
        <v>67</v>
      </c>
    </row>
    <row r="294" spans="1:7" ht="22.5" customHeight="1" x14ac:dyDescent="0.2">
      <c r="A294" s="2" t="str">
        <f ca="1">IFERROR(__xludf.DUMMYFUNCTION("""COMPUTED_VALUE"""),"2024-01-21")</f>
        <v>2024-01-21</v>
      </c>
      <c r="B294" s="10" t="str">
        <f ca="1">IFERROR(__xludf.DUMMYFUNCTION("""COMPUTED_VALUE"""),"TikTok")</f>
        <v>TikTok</v>
      </c>
      <c r="C294" s="10" t="str">
        <f ca="1">IFERROR(__xludf.DUMMYFUNCTION("""COMPUTED_VALUE"""),"Traffic_Campaign")</f>
        <v>Traffic_Campaign</v>
      </c>
      <c r="D294" s="2">
        <f ca="1">IFERROR(__xludf.DUMMYFUNCTION("""COMPUTED_VALUE"""),201234)</f>
        <v>201234</v>
      </c>
      <c r="E294" s="2">
        <f ca="1">IFERROR(__xludf.DUMMYFUNCTION("""COMPUTED_VALUE"""),3123)</f>
        <v>3123</v>
      </c>
      <c r="F294" s="2">
        <f ca="1">IFERROR(__xludf.DUMMYFUNCTION("""COMPUTED_VALUE"""),374.5)</f>
        <v>374.5</v>
      </c>
      <c r="G294" s="2">
        <f ca="1">IFERROR(__xludf.DUMMYFUNCTION("""COMPUTED_VALUE"""),26)</f>
        <v>26</v>
      </c>
    </row>
    <row r="295" spans="1:7" ht="22.5" customHeight="1" x14ac:dyDescent="0.2">
      <c r="A295" s="2" t="str">
        <f ca="1">IFERROR(__xludf.DUMMYFUNCTION("""COMPUTED_VALUE"""),"2024-01-21")</f>
        <v>2024-01-21</v>
      </c>
      <c r="B295" s="10" t="str">
        <f ca="1">IFERROR(__xludf.DUMMYFUNCTION("""COMPUTED_VALUE"""),"TikTok")</f>
        <v>TikTok</v>
      </c>
      <c r="C295" s="10" t="str">
        <f ca="1">IFERROR(__xludf.DUMMYFUNCTION("""COMPUTED_VALUE"""),"Influencer_Collab")</f>
        <v>Influencer_Collab</v>
      </c>
      <c r="D295" s="2">
        <f ca="1">IFERROR(__xludf.DUMMYFUNCTION("""COMPUTED_VALUE"""),367890)</f>
        <v>367890</v>
      </c>
      <c r="E295" s="2">
        <f ca="1">IFERROR(__xludf.DUMMYFUNCTION("""COMPUTED_VALUE"""),6012)</f>
        <v>6012</v>
      </c>
      <c r="F295" s="2">
        <f ca="1">IFERROR(__xludf.DUMMYFUNCTION("""COMPUTED_VALUE"""),923.4)</f>
        <v>923.4</v>
      </c>
      <c r="G295" s="2">
        <f ca="1">IFERROR(__xludf.DUMMYFUNCTION("""COMPUTED_VALUE"""),94)</f>
        <v>94</v>
      </c>
    </row>
    <row r="296" spans="1:7" ht="22.5" customHeight="1" x14ac:dyDescent="0.2">
      <c r="A296" s="2" t="str">
        <f ca="1">IFERROR(__xludf.DUMMYFUNCTION("""COMPUTED_VALUE"""),"2024-01-22")</f>
        <v>2024-01-22</v>
      </c>
      <c r="B296" s="10" t="str">
        <f ca="1">IFERROR(__xludf.DUMMYFUNCTION("""COMPUTED_VALUE"""),"TikTok")</f>
        <v>TikTok</v>
      </c>
      <c r="C296" s="10" t="str">
        <f ca="1">IFERROR(__xludf.DUMMYFUNCTION("""COMPUTED_VALUE"""),"Awareness_GenZ")</f>
        <v>Awareness_GenZ</v>
      </c>
      <c r="D296" s="2">
        <f ca="1">IFERROR(__xludf.DUMMYFUNCTION("""COMPUTED_VALUE"""),267890)</f>
        <v>267890</v>
      </c>
      <c r="E296" s="2">
        <f ca="1">IFERROR(__xludf.DUMMYFUNCTION("""COMPUTED_VALUE"""),3945)</f>
        <v>3945</v>
      </c>
      <c r="F296" s="2">
        <f ca="1">IFERROR(__xludf.DUMMYFUNCTION("""COMPUTED_VALUE"""),523.4)</f>
        <v>523.4</v>
      </c>
      <c r="G296" s="2">
        <f ca="1">IFERROR(__xludf.DUMMYFUNCTION("""COMPUTED_VALUE"""),40)</f>
        <v>40</v>
      </c>
    </row>
    <row r="297" spans="1:7" ht="22.5" customHeight="1" x14ac:dyDescent="0.2">
      <c r="A297" s="2" t="str">
        <f ca="1">IFERROR(__xludf.DUMMYFUNCTION("""COMPUTED_VALUE"""),"2024-01-22")</f>
        <v>2024-01-22</v>
      </c>
      <c r="B297" s="10" t="str">
        <f ca="1">IFERROR(__xludf.DUMMYFUNCTION("""COMPUTED_VALUE"""),"TikTok")</f>
        <v>TikTok</v>
      </c>
      <c r="C297" s="10" t="str">
        <f ca="1">IFERROR(__xludf.DUMMYFUNCTION("""COMPUTED_VALUE"""),"Conversion_Focus")</f>
        <v>Conversion_Focus</v>
      </c>
      <c r="D297" s="2">
        <f ca="1">IFERROR(__xludf.DUMMYFUNCTION("""COMPUTED_VALUE"""),148901)</f>
        <v>148901</v>
      </c>
      <c r="E297" s="2">
        <f ca="1">IFERROR(__xludf.DUMMYFUNCTION("""COMPUTED_VALUE"""),2834)</f>
        <v>2834</v>
      </c>
      <c r="F297" s="2">
        <f ca="1">IFERROR(__xludf.DUMMYFUNCTION("""COMPUTED_VALUE"""),767.5)</f>
        <v>767.5</v>
      </c>
      <c r="G297" s="2">
        <f ca="1">IFERROR(__xludf.DUMMYFUNCTION("""COMPUTED_VALUE"""),77)</f>
        <v>77</v>
      </c>
    </row>
    <row r="298" spans="1:7" ht="22.5" customHeight="1" x14ac:dyDescent="0.2">
      <c r="A298" s="2" t="str">
        <f ca="1">IFERROR(__xludf.DUMMYFUNCTION("""COMPUTED_VALUE"""),"2024-01-22")</f>
        <v>2024-01-22</v>
      </c>
      <c r="B298" s="10" t="str">
        <f ca="1">IFERROR(__xludf.DUMMYFUNCTION("""COMPUTED_VALUE"""),"TikTok")</f>
        <v>TikTok</v>
      </c>
      <c r="C298" s="10" t="str">
        <f ca="1">IFERROR(__xludf.DUMMYFUNCTION("""COMPUTED_VALUE"""),"Traffic_Campaign")</f>
        <v>Traffic_Campaign</v>
      </c>
      <c r="D298" s="2">
        <f ca="1">IFERROR(__xludf.DUMMYFUNCTION("""COMPUTED_VALUE"""),228901)</f>
        <v>228901</v>
      </c>
      <c r="E298" s="2">
        <f ca="1">IFERROR(__xludf.DUMMYFUNCTION("""COMPUTED_VALUE"""),3634)</f>
        <v>3634</v>
      </c>
      <c r="F298" s="2">
        <f ca="1">IFERROR(__xludf.DUMMYFUNCTION("""COMPUTED_VALUE"""),441.9)</f>
        <v>441.9</v>
      </c>
      <c r="G298" s="2">
        <f ca="1">IFERROR(__xludf.DUMMYFUNCTION("""COMPUTED_VALUE"""),31)</f>
        <v>31</v>
      </c>
    </row>
    <row r="299" spans="1:7" ht="22.5" customHeight="1" x14ac:dyDescent="0.2">
      <c r="A299" s="2" t="str">
        <f ca="1">IFERROR(__xludf.DUMMYFUNCTION("""COMPUTED_VALUE"""),"2024-01-22")</f>
        <v>2024-01-22</v>
      </c>
      <c r="B299" s="10" t="str">
        <f ca="1">IFERROR(__xludf.DUMMYFUNCTION("""COMPUTED_VALUE"""),"TikTok")</f>
        <v>TikTok</v>
      </c>
      <c r="C299" s="10" t="str">
        <f ca="1">IFERROR(__xludf.DUMMYFUNCTION("""COMPUTED_VALUE"""),"Influencer_Collab")</f>
        <v>Influencer_Collab</v>
      </c>
      <c r="D299" s="2">
        <f ca="1">IFERROR(__xludf.DUMMYFUNCTION("""COMPUTED_VALUE"""),398567)</f>
        <v>398567</v>
      </c>
      <c r="E299" s="2">
        <f ca="1">IFERROR(__xludf.DUMMYFUNCTION("""COMPUTED_VALUE"""),6534)</f>
        <v>6534</v>
      </c>
      <c r="F299" s="2">
        <f ca="1">IFERROR(__xludf.DUMMYFUNCTION("""COMPUTED_VALUE"""),998.7)</f>
        <v>998.7</v>
      </c>
      <c r="G299" s="2">
        <f ca="1">IFERROR(__xludf.DUMMYFUNCTION("""COMPUTED_VALUE"""),98)</f>
        <v>98</v>
      </c>
    </row>
    <row r="300" spans="1:7" ht="22.5" customHeight="1" x14ac:dyDescent="0.2">
      <c r="A300" s="2" t="str">
        <f ca="1">IFERROR(__xludf.DUMMYFUNCTION("""COMPUTED_VALUE"""),"2024-01-23")</f>
        <v>2024-01-23</v>
      </c>
      <c r="B300" s="10" t="str">
        <f ca="1">IFERROR(__xludf.DUMMYFUNCTION("""COMPUTED_VALUE"""),"TikTok")</f>
        <v>TikTok</v>
      </c>
      <c r="C300" s="10" t="str">
        <f ca="1">IFERROR(__xludf.DUMMYFUNCTION("""COMPUTED_VALUE"""),"Awareness_GenZ")</f>
        <v>Awareness_GenZ</v>
      </c>
      <c r="D300" s="2">
        <f ca="1">IFERROR(__xludf.DUMMYFUNCTION("""COMPUTED_VALUE"""),289012)</f>
        <v>289012</v>
      </c>
      <c r="E300" s="2">
        <f ca="1">IFERROR(__xludf.DUMMYFUNCTION("""COMPUTED_VALUE"""),4234)</f>
        <v>4234</v>
      </c>
      <c r="F300" s="2">
        <f ca="1">IFERROR(__xludf.DUMMYFUNCTION("""COMPUTED_VALUE"""),556.7)</f>
        <v>556.70000000000005</v>
      </c>
      <c r="G300" s="2">
        <f ca="1">IFERROR(__xludf.DUMMYFUNCTION("""COMPUTED_VALUE"""),43)</f>
        <v>43</v>
      </c>
    </row>
    <row r="301" spans="1:7" ht="22.5" customHeight="1" x14ac:dyDescent="0.2">
      <c r="A301" s="2" t="str">
        <f ca="1">IFERROR(__xludf.DUMMYFUNCTION("""COMPUTED_VALUE"""),"2024-01-23")</f>
        <v>2024-01-23</v>
      </c>
      <c r="B301" s="10" t="str">
        <f ca="1">IFERROR(__xludf.DUMMYFUNCTION("""COMPUTED_VALUE"""),"TikTok")</f>
        <v>TikTok</v>
      </c>
      <c r="C301" s="10" t="str">
        <f ca="1">IFERROR(__xludf.DUMMYFUNCTION("""COMPUTED_VALUE"""),"Conversion_Focus")</f>
        <v>Conversion_Focus</v>
      </c>
      <c r="D301" s="2">
        <f ca="1">IFERROR(__xludf.DUMMYFUNCTION("""COMPUTED_VALUE"""),156789)</f>
        <v>156789</v>
      </c>
      <c r="E301" s="2">
        <f ca="1">IFERROR(__xludf.DUMMYFUNCTION("""COMPUTED_VALUE"""),3012)</f>
        <v>3012</v>
      </c>
      <c r="F301" s="2">
        <f ca="1">IFERROR(__xludf.DUMMYFUNCTION("""COMPUTED_VALUE"""),812.3)</f>
        <v>812.3</v>
      </c>
      <c r="G301" s="2">
        <f ca="1">IFERROR(__xludf.DUMMYFUNCTION("""COMPUTED_VALUE"""),82)</f>
        <v>82</v>
      </c>
    </row>
    <row r="302" spans="1:7" ht="22.5" customHeight="1" x14ac:dyDescent="0.2">
      <c r="A302" s="2" t="str">
        <f ca="1">IFERROR(__xludf.DUMMYFUNCTION("""COMPUTED_VALUE"""),"2024-01-23")</f>
        <v>2024-01-23</v>
      </c>
      <c r="B302" s="10" t="str">
        <f ca="1">IFERROR(__xludf.DUMMYFUNCTION("""COMPUTED_VALUE"""),"TikTok")</f>
        <v>TikTok</v>
      </c>
      <c r="C302" s="10" t="str">
        <f ca="1">IFERROR(__xludf.DUMMYFUNCTION("""COMPUTED_VALUE"""),"Traffic_Campaign")</f>
        <v>Traffic_Campaign</v>
      </c>
      <c r="D302" s="2">
        <f ca="1">IFERROR(__xludf.DUMMYFUNCTION("""COMPUTED_VALUE"""),245678)</f>
        <v>245678</v>
      </c>
      <c r="E302" s="2">
        <f ca="1">IFERROR(__xludf.DUMMYFUNCTION("""COMPUTED_VALUE"""),3890)</f>
        <v>3890</v>
      </c>
      <c r="F302" s="2">
        <f ca="1">IFERROR(__xludf.DUMMYFUNCTION("""COMPUTED_VALUE"""),467.8)</f>
        <v>467.8</v>
      </c>
      <c r="G302" s="2">
        <f ca="1">IFERROR(__xludf.DUMMYFUNCTION("""COMPUTED_VALUE"""),34)</f>
        <v>34</v>
      </c>
    </row>
    <row r="303" spans="1:7" ht="22.5" customHeight="1" x14ac:dyDescent="0.2">
      <c r="A303" s="2" t="str">
        <f ca="1">IFERROR(__xludf.DUMMYFUNCTION("""COMPUTED_VALUE"""),"2024-01-23")</f>
        <v>2024-01-23</v>
      </c>
      <c r="B303" s="10" t="str">
        <f ca="1">IFERROR(__xludf.DUMMYFUNCTION("""COMPUTED_VALUE"""),"TikTok")</f>
        <v>TikTok</v>
      </c>
      <c r="C303" s="10" t="str">
        <f ca="1">IFERROR(__xludf.DUMMYFUNCTION("""COMPUTED_VALUE"""),"Influencer_Collab")</f>
        <v>Influencer_Collab</v>
      </c>
      <c r="D303" s="2">
        <f ca="1">IFERROR(__xludf.DUMMYFUNCTION("""COMPUTED_VALUE"""),423456)</f>
        <v>423456</v>
      </c>
      <c r="E303" s="2">
        <f ca="1">IFERROR(__xludf.DUMMYFUNCTION("""COMPUTED_VALUE"""),6890)</f>
        <v>6890</v>
      </c>
      <c r="F303" s="2">
        <f ca="1">IFERROR(__xludf.DUMMYFUNCTION("""COMPUTED_VALUE"""),1056.8)</f>
        <v>1056.8</v>
      </c>
      <c r="G303" s="2">
        <f ca="1">IFERROR(__xludf.DUMMYFUNCTION("""COMPUTED_VALUE"""),107)</f>
        <v>107</v>
      </c>
    </row>
    <row r="304" spans="1:7" ht="22.5" customHeight="1" x14ac:dyDescent="0.2">
      <c r="A304" s="2" t="str">
        <f ca="1">IFERROR(__xludf.DUMMYFUNCTION("""COMPUTED_VALUE"""),"2024-01-24")</f>
        <v>2024-01-24</v>
      </c>
      <c r="B304" s="10" t="str">
        <f ca="1">IFERROR(__xludf.DUMMYFUNCTION("""COMPUTED_VALUE"""),"TikTok")</f>
        <v>TikTok</v>
      </c>
      <c r="C304" s="10" t="str">
        <f ca="1">IFERROR(__xludf.DUMMYFUNCTION("""COMPUTED_VALUE"""),"Awareness_GenZ")</f>
        <v>Awareness_GenZ</v>
      </c>
      <c r="D304" s="2">
        <f ca="1">IFERROR(__xludf.DUMMYFUNCTION("""COMPUTED_VALUE"""),312345)</f>
        <v>312345</v>
      </c>
      <c r="E304" s="2">
        <f ca="1">IFERROR(__xludf.DUMMYFUNCTION("""COMPUTED_VALUE"""),4567)</f>
        <v>4567</v>
      </c>
      <c r="F304" s="2">
        <f ca="1">IFERROR(__xludf.DUMMYFUNCTION("""COMPUTED_VALUE"""),623.4)</f>
        <v>623.4</v>
      </c>
      <c r="G304" s="2">
        <f ca="1">IFERROR(__xludf.DUMMYFUNCTION("""COMPUTED_VALUE"""),48)</f>
        <v>48</v>
      </c>
    </row>
    <row r="305" spans="1:7" ht="22.5" customHeight="1" x14ac:dyDescent="0.2">
      <c r="A305" s="2" t="str">
        <f ca="1">IFERROR(__xludf.DUMMYFUNCTION("""COMPUTED_VALUE"""),"2024-01-24")</f>
        <v>2024-01-24</v>
      </c>
      <c r="B305" s="10" t="str">
        <f ca="1">IFERROR(__xludf.DUMMYFUNCTION("""COMPUTED_VALUE"""),"TikTok")</f>
        <v>TikTok</v>
      </c>
      <c r="C305" s="10" t="str">
        <f ca="1">IFERROR(__xludf.DUMMYFUNCTION("""COMPUTED_VALUE"""),"Conversion_Focus")</f>
        <v>Conversion_Focus</v>
      </c>
      <c r="D305" s="2">
        <f ca="1">IFERROR(__xludf.DUMMYFUNCTION("""COMPUTED_VALUE"""),172345)</f>
        <v>172345</v>
      </c>
      <c r="E305" s="2">
        <f ca="1">IFERROR(__xludf.DUMMYFUNCTION("""COMPUTED_VALUE"""),3345)</f>
        <v>3345</v>
      </c>
      <c r="F305" s="2">
        <f ca="1">IFERROR(__xludf.DUMMYFUNCTION("""COMPUTED_VALUE"""),867.9)</f>
        <v>867.9</v>
      </c>
      <c r="G305" s="2">
        <f ca="1">IFERROR(__xludf.DUMMYFUNCTION("""COMPUTED_VALUE"""),87)</f>
        <v>87</v>
      </c>
    </row>
    <row r="306" spans="1:7" ht="22.5" customHeight="1" x14ac:dyDescent="0.2">
      <c r="A306" s="2" t="str">
        <f ca="1">IFERROR(__xludf.DUMMYFUNCTION("""COMPUTED_VALUE"""),"2024-01-24")</f>
        <v>2024-01-24</v>
      </c>
      <c r="B306" s="10" t="str">
        <f ca="1">IFERROR(__xludf.DUMMYFUNCTION("""COMPUTED_VALUE"""),"TikTok")</f>
        <v>TikTok</v>
      </c>
      <c r="C306" s="10" t="str">
        <f ca="1">IFERROR(__xludf.DUMMYFUNCTION("""COMPUTED_VALUE"""),"Traffic_Campaign")</f>
        <v>Traffic_Campaign</v>
      </c>
      <c r="D306" s="2">
        <f ca="1">IFERROR(__xludf.DUMMYFUNCTION("""COMPUTED_VALUE"""),267890)</f>
        <v>267890</v>
      </c>
      <c r="E306" s="2">
        <f ca="1">IFERROR(__xludf.DUMMYFUNCTION("""COMPUTED_VALUE"""),4123)</f>
        <v>4123</v>
      </c>
      <c r="F306" s="2">
        <f ca="1">IFERROR(__xludf.DUMMYFUNCTION("""COMPUTED_VALUE"""),512.6)</f>
        <v>512.6</v>
      </c>
      <c r="G306" s="2">
        <f ca="1">IFERROR(__xludf.DUMMYFUNCTION("""COMPUTED_VALUE"""),37)</f>
        <v>37</v>
      </c>
    </row>
    <row r="307" spans="1:7" ht="22.5" customHeight="1" x14ac:dyDescent="0.2">
      <c r="A307" s="2" t="str">
        <f ca="1">IFERROR(__xludf.DUMMYFUNCTION("""COMPUTED_VALUE"""),"2024-01-24")</f>
        <v>2024-01-24</v>
      </c>
      <c r="B307" s="10" t="str">
        <f ca="1">IFERROR(__xludf.DUMMYFUNCTION("""COMPUTED_VALUE"""),"TikTok")</f>
        <v>TikTok</v>
      </c>
      <c r="C307" s="10" t="str">
        <f ca="1">IFERROR(__xludf.DUMMYFUNCTION("""COMPUTED_VALUE"""),"Influencer_Collab")</f>
        <v>Influencer_Collab</v>
      </c>
      <c r="D307" s="2">
        <f ca="1">IFERROR(__xludf.DUMMYFUNCTION("""COMPUTED_VALUE"""),456789)</f>
        <v>456789</v>
      </c>
      <c r="E307" s="2">
        <f ca="1">IFERROR(__xludf.DUMMYFUNCTION("""COMPUTED_VALUE"""),7456)</f>
        <v>7456</v>
      </c>
      <c r="F307" s="2">
        <f ca="1">IFERROR(__xludf.DUMMYFUNCTION("""COMPUTED_VALUE"""),1167.8)</f>
        <v>1167.8</v>
      </c>
      <c r="G307" s="2">
        <f ca="1">IFERROR(__xludf.DUMMYFUNCTION("""COMPUTED_VALUE"""),118)</f>
        <v>118</v>
      </c>
    </row>
    <row r="308" spans="1:7" ht="22.5" customHeight="1" x14ac:dyDescent="0.2">
      <c r="A308" s="2" t="str">
        <f ca="1">IFERROR(__xludf.DUMMYFUNCTION("""COMPUTED_VALUE"""),"2024-01-25")</f>
        <v>2024-01-25</v>
      </c>
      <c r="B308" s="10" t="str">
        <f ca="1">IFERROR(__xludf.DUMMYFUNCTION("""COMPUTED_VALUE"""),"TikTok")</f>
        <v>TikTok</v>
      </c>
      <c r="C308" s="10" t="str">
        <f ca="1">IFERROR(__xludf.DUMMYFUNCTION("""COMPUTED_VALUE"""),"Awareness_GenZ")</f>
        <v>Awareness_GenZ</v>
      </c>
      <c r="D308" s="2">
        <f ca="1">IFERROR(__xludf.DUMMYFUNCTION("""COMPUTED_VALUE"""),323456)</f>
        <v>323456</v>
      </c>
      <c r="E308" s="2">
        <f ca="1">IFERROR(__xludf.DUMMYFUNCTION("""COMPUTED_VALUE"""),4789)</f>
        <v>4789</v>
      </c>
      <c r="F308" s="2">
        <f ca="1">IFERROR(__xludf.DUMMYFUNCTION("""COMPUTED_VALUE"""),645.7)</f>
        <v>645.70000000000005</v>
      </c>
      <c r="G308" s="2">
        <f ca="1">IFERROR(__xludf.DUMMYFUNCTION("""COMPUTED_VALUE"""),50)</f>
        <v>50</v>
      </c>
    </row>
    <row r="309" spans="1:7" ht="22.5" customHeight="1" x14ac:dyDescent="0.2">
      <c r="A309" s="2" t="str">
        <f ca="1">IFERROR(__xludf.DUMMYFUNCTION("""COMPUTED_VALUE"""),"2024-01-25")</f>
        <v>2024-01-25</v>
      </c>
      <c r="B309" s="10" t="str">
        <f ca="1">IFERROR(__xludf.DUMMYFUNCTION("""COMPUTED_VALUE"""),"TikTok")</f>
        <v>TikTok</v>
      </c>
      <c r="C309" s="10" t="str">
        <f ca="1">IFERROR(__xludf.DUMMYFUNCTION("""COMPUTED_VALUE"""),"Conversion_Focus")</f>
        <v>Conversion_Focus</v>
      </c>
      <c r="D309" s="2">
        <f ca="1">IFERROR(__xludf.DUMMYFUNCTION("""COMPUTED_VALUE"""),178901)</f>
        <v>178901</v>
      </c>
      <c r="E309" s="2">
        <f ca="1">IFERROR(__xludf.DUMMYFUNCTION("""COMPUTED_VALUE"""),3456)</f>
        <v>3456</v>
      </c>
      <c r="F309" s="2">
        <f ca="1">IFERROR(__xludf.DUMMYFUNCTION("""COMPUTED_VALUE"""),889.5)</f>
        <v>889.5</v>
      </c>
      <c r="G309" s="2">
        <f ca="1">IFERROR(__xludf.DUMMYFUNCTION("""COMPUTED_VALUE"""),89)</f>
        <v>89</v>
      </c>
    </row>
    <row r="310" spans="1:7" ht="22.5" customHeight="1" x14ac:dyDescent="0.2">
      <c r="A310" s="2" t="str">
        <f ca="1">IFERROR(__xludf.DUMMYFUNCTION("""COMPUTED_VALUE"""),"2024-01-25")</f>
        <v>2024-01-25</v>
      </c>
      <c r="B310" s="10" t="str">
        <f ca="1">IFERROR(__xludf.DUMMYFUNCTION("""COMPUTED_VALUE"""),"TikTok")</f>
        <v>TikTok</v>
      </c>
      <c r="C310" s="10" t="str">
        <f ca="1">IFERROR(__xludf.DUMMYFUNCTION("""COMPUTED_VALUE"""),"Traffic_Campaign")</f>
        <v>Traffic_Campaign</v>
      </c>
      <c r="D310" s="2">
        <f ca="1">IFERROR(__xludf.DUMMYFUNCTION("""COMPUTED_VALUE"""),278901)</f>
        <v>278901</v>
      </c>
      <c r="E310" s="2">
        <f ca="1">IFERROR(__xludf.DUMMYFUNCTION("""COMPUTED_VALUE"""),4234)</f>
        <v>4234</v>
      </c>
      <c r="F310" s="2">
        <f ca="1">IFERROR(__xludf.DUMMYFUNCTION("""COMPUTED_VALUE"""),534.2)</f>
        <v>534.20000000000005</v>
      </c>
      <c r="G310" s="2">
        <f ca="1">IFERROR(__xludf.DUMMYFUNCTION("""COMPUTED_VALUE"""),39)</f>
        <v>39</v>
      </c>
    </row>
    <row r="311" spans="1:7" ht="22.5" customHeight="1" x14ac:dyDescent="0.2">
      <c r="A311" s="2" t="str">
        <f ca="1">IFERROR(__xludf.DUMMYFUNCTION("""COMPUTED_VALUE"""),"2024-01-25")</f>
        <v>2024-01-25</v>
      </c>
      <c r="B311" s="10" t="str">
        <f ca="1">IFERROR(__xludf.DUMMYFUNCTION("""COMPUTED_VALUE"""),"TikTok")</f>
        <v>TikTok</v>
      </c>
      <c r="C311" s="10" t="str">
        <f ca="1">IFERROR(__xludf.DUMMYFUNCTION("""COMPUTED_VALUE"""),"Influencer_Collab")</f>
        <v>Influencer_Collab</v>
      </c>
      <c r="D311" s="2">
        <f ca="1">IFERROR(__xludf.DUMMYFUNCTION("""COMPUTED_VALUE"""),467890)</f>
        <v>467890</v>
      </c>
      <c r="E311" s="2">
        <f ca="1">IFERROR(__xludf.DUMMYFUNCTION("""COMPUTED_VALUE"""),7623)</f>
        <v>7623</v>
      </c>
      <c r="F311" s="2">
        <f ca="1">IFERROR(__xludf.DUMMYFUNCTION("""COMPUTED_VALUE"""),1189.4)</f>
        <v>1189.4000000000001</v>
      </c>
      <c r="G311" s="2">
        <f ca="1">IFERROR(__xludf.DUMMYFUNCTION("""COMPUTED_VALUE"""),120)</f>
        <v>120</v>
      </c>
    </row>
    <row r="312" spans="1:7" ht="22.5" customHeight="1" x14ac:dyDescent="0.2">
      <c r="A312" s="2" t="str">
        <f ca="1">IFERROR(__xludf.DUMMYFUNCTION("""COMPUTED_VALUE"""),"2024-01-26")</f>
        <v>2024-01-26</v>
      </c>
      <c r="B312" s="10" t="str">
        <f ca="1">IFERROR(__xludf.DUMMYFUNCTION("""COMPUTED_VALUE"""),"TikTok")</f>
        <v>TikTok</v>
      </c>
      <c r="C312" s="10" t="str">
        <f ca="1">IFERROR(__xludf.DUMMYFUNCTION("""COMPUTED_VALUE"""),"Awareness_GenZ")</f>
        <v>Awareness_GenZ</v>
      </c>
      <c r="D312" s="2">
        <f ca="1">IFERROR(__xludf.DUMMYFUNCTION("""COMPUTED_VALUE"""),301234)</f>
        <v>301234</v>
      </c>
      <c r="E312" s="2">
        <f ca="1">IFERROR(__xludf.DUMMYFUNCTION("""COMPUTED_VALUE"""),4456)</f>
        <v>4456</v>
      </c>
      <c r="F312" s="2">
        <f ca="1">IFERROR(__xludf.DUMMYFUNCTION("""COMPUTED_VALUE"""),589.9)</f>
        <v>589.9</v>
      </c>
      <c r="G312" s="2">
        <f ca="1">IFERROR(__xludf.DUMMYFUNCTION("""COMPUTED_VALUE"""),46)</f>
        <v>46</v>
      </c>
    </row>
    <row r="313" spans="1:7" ht="22.5" customHeight="1" x14ac:dyDescent="0.2">
      <c r="A313" s="2" t="str">
        <f ca="1">IFERROR(__xludf.DUMMYFUNCTION("""COMPUTED_VALUE"""),"2024-01-26")</f>
        <v>2024-01-26</v>
      </c>
      <c r="B313" s="10" t="str">
        <f ca="1">IFERROR(__xludf.DUMMYFUNCTION("""COMPUTED_VALUE"""),"TikTok")</f>
        <v>TikTok</v>
      </c>
      <c r="C313" s="10" t="str">
        <f ca="1">IFERROR(__xludf.DUMMYFUNCTION("""COMPUTED_VALUE"""),"Conversion_Focus")</f>
        <v>Conversion_Focus</v>
      </c>
      <c r="D313" s="2">
        <f ca="1">IFERROR(__xludf.DUMMYFUNCTION("""COMPUTED_VALUE"""),167890)</f>
        <v>167890</v>
      </c>
      <c r="E313" s="2">
        <f ca="1">IFERROR(__xludf.DUMMYFUNCTION("""COMPUTED_VALUE"""),3234)</f>
        <v>3234</v>
      </c>
      <c r="F313" s="2">
        <f ca="1">IFERROR(__xludf.DUMMYFUNCTION("""COMPUTED_VALUE"""),845.6)</f>
        <v>845.6</v>
      </c>
      <c r="G313" s="2">
        <f ca="1">IFERROR(__xludf.DUMMYFUNCTION("""COMPUTED_VALUE"""),85)</f>
        <v>85</v>
      </c>
    </row>
    <row r="314" spans="1:7" ht="22.5" customHeight="1" x14ac:dyDescent="0.2">
      <c r="A314" s="2" t="str">
        <f ca="1">IFERROR(__xludf.DUMMYFUNCTION("""COMPUTED_VALUE"""),"2024-01-26")</f>
        <v>2024-01-26</v>
      </c>
      <c r="B314" s="10" t="str">
        <f ca="1">IFERROR(__xludf.DUMMYFUNCTION("""COMPUTED_VALUE"""),"TikTok")</f>
        <v>TikTok</v>
      </c>
      <c r="C314" s="10" t="str">
        <f ca="1">IFERROR(__xludf.DUMMYFUNCTION("""COMPUTED_VALUE"""),"Traffic_Campaign")</f>
        <v>Traffic_Campaign</v>
      </c>
      <c r="D314" s="2">
        <f ca="1">IFERROR(__xludf.DUMMYFUNCTION("""COMPUTED_VALUE"""),256789)</f>
        <v>256789</v>
      </c>
      <c r="E314" s="2">
        <f ca="1">IFERROR(__xludf.DUMMYFUNCTION("""COMPUTED_VALUE"""),4012)</f>
        <v>4012</v>
      </c>
      <c r="F314" s="2">
        <f ca="1">IFERROR(__xludf.DUMMYFUNCTION("""COMPUTED_VALUE"""),489.2)</f>
        <v>489.2</v>
      </c>
      <c r="G314" s="2">
        <f ca="1">IFERROR(__xludf.DUMMYFUNCTION("""COMPUTED_VALUE"""),36)</f>
        <v>36</v>
      </c>
    </row>
    <row r="315" spans="1:7" ht="22.5" customHeight="1" x14ac:dyDescent="0.2">
      <c r="A315" s="2" t="str">
        <f ca="1">IFERROR(__xludf.DUMMYFUNCTION("""COMPUTED_VALUE"""),"2024-01-26")</f>
        <v>2024-01-26</v>
      </c>
      <c r="B315" s="10" t="str">
        <f ca="1">IFERROR(__xludf.DUMMYFUNCTION("""COMPUTED_VALUE"""),"TikTok")</f>
        <v>TikTok</v>
      </c>
      <c r="C315" s="10" t="str">
        <f ca="1">IFERROR(__xludf.DUMMYFUNCTION("""COMPUTED_VALUE"""),"Influencer_Collab")</f>
        <v>Influencer_Collab</v>
      </c>
      <c r="D315" s="2">
        <f ca="1">IFERROR(__xludf.DUMMYFUNCTION("""COMPUTED_VALUE"""),445678)</f>
        <v>445678</v>
      </c>
      <c r="E315" s="2">
        <f ca="1">IFERROR(__xludf.DUMMYFUNCTION("""COMPUTED_VALUE"""),7234)</f>
        <v>7234</v>
      </c>
      <c r="F315" s="2">
        <f ca="1">IFERROR(__xludf.DUMMYFUNCTION("""COMPUTED_VALUE"""),1123.5)</f>
        <v>1123.5</v>
      </c>
      <c r="G315" s="2">
        <f ca="1">IFERROR(__xludf.DUMMYFUNCTION("""COMPUTED_VALUE"""),113)</f>
        <v>113</v>
      </c>
    </row>
    <row r="316" spans="1:7" ht="22.5" customHeight="1" x14ac:dyDescent="0.2">
      <c r="A316" s="2" t="str">
        <f ca="1">IFERROR(__xludf.DUMMYFUNCTION("""COMPUTED_VALUE"""),"2024-01-27")</f>
        <v>2024-01-27</v>
      </c>
      <c r="B316" s="10" t="str">
        <f ca="1">IFERROR(__xludf.DUMMYFUNCTION("""COMPUTED_VALUE"""),"TikTok")</f>
        <v>TikTok</v>
      </c>
      <c r="C316" s="10" t="str">
        <f ca="1">IFERROR(__xludf.DUMMYFUNCTION("""COMPUTED_VALUE"""),"Awareness_GenZ")</f>
        <v>Awareness_GenZ</v>
      </c>
      <c r="D316" s="2">
        <f ca="1">IFERROR(__xludf.DUMMYFUNCTION("""COMPUTED_VALUE"""),278901)</f>
        <v>278901</v>
      </c>
      <c r="E316" s="2">
        <f ca="1">IFERROR(__xludf.DUMMYFUNCTION("""COMPUTED_VALUE"""),4123)</f>
        <v>4123</v>
      </c>
      <c r="F316" s="2">
        <f ca="1">IFERROR(__xludf.DUMMYFUNCTION("""COMPUTED_VALUE"""),545.6)</f>
        <v>545.6</v>
      </c>
      <c r="G316" s="2">
        <f ca="1">IFERROR(__xludf.DUMMYFUNCTION("""COMPUTED_VALUE"""),42)</f>
        <v>42</v>
      </c>
    </row>
    <row r="317" spans="1:7" ht="22.5" customHeight="1" x14ac:dyDescent="0.2">
      <c r="A317" s="2" t="str">
        <f ca="1">IFERROR(__xludf.DUMMYFUNCTION("""COMPUTED_VALUE"""),"2024-01-27")</f>
        <v>2024-01-27</v>
      </c>
      <c r="B317" s="10" t="str">
        <f ca="1">IFERROR(__xludf.DUMMYFUNCTION("""COMPUTED_VALUE"""),"TikTok")</f>
        <v>TikTok</v>
      </c>
      <c r="C317" s="10" t="str">
        <f ca="1">IFERROR(__xludf.DUMMYFUNCTION("""COMPUTED_VALUE"""),"Conversion_Focus")</f>
        <v>Conversion_Focus</v>
      </c>
      <c r="D317" s="2">
        <f ca="1">IFERROR(__xludf.DUMMYFUNCTION("""COMPUTED_VALUE"""),153456)</f>
        <v>153456</v>
      </c>
      <c r="E317" s="2">
        <f ca="1">IFERROR(__xludf.DUMMYFUNCTION("""COMPUTED_VALUE"""),2945)</f>
        <v>2945</v>
      </c>
      <c r="F317" s="2">
        <f ca="1">IFERROR(__xludf.DUMMYFUNCTION("""COMPUTED_VALUE"""),789.2)</f>
        <v>789.2</v>
      </c>
      <c r="G317" s="2">
        <f ca="1">IFERROR(__xludf.DUMMYFUNCTION("""COMPUTED_VALUE"""),79)</f>
        <v>79</v>
      </c>
    </row>
    <row r="318" spans="1:7" ht="22.5" customHeight="1" x14ac:dyDescent="0.2">
      <c r="A318" s="2" t="str">
        <f ca="1">IFERROR(__xludf.DUMMYFUNCTION("""COMPUTED_VALUE"""),"2024-01-27")</f>
        <v>2024-01-27</v>
      </c>
      <c r="B318" s="10" t="str">
        <f ca="1">IFERROR(__xludf.DUMMYFUNCTION("""COMPUTED_VALUE"""),"TikTok")</f>
        <v>TikTok</v>
      </c>
      <c r="C318" s="10" t="str">
        <f ca="1">IFERROR(__xludf.DUMMYFUNCTION("""COMPUTED_VALUE"""),"Traffic_Campaign")</f>
        <v>Traffic_Campaign</v>
      </c>
      <c r="D318" s="2">
        <f ca="1">IFERROR(__xludf.DUMMYFUNCTION("""COMPUTED_VALUE"""),236789)</f>
        <v>236789</v>
      </c>
      <c r="E318" s="2">
        <f ca="1">IFERROR(__xludf.DUMMYFUNCTION("""COMPUTED_VALUE"""),3734)</f>
        <v>3734</v>
      </c>
      <c r="F318" s="2">
        <f ca="1">IFERROR(__xludf.DUMMYFUNCTION("""COMPUTED_VALUE"""),456.8)</f>
        <v>456.8</v>
      </c>
      <c r="G318" s="2">
        <f ca="1">IFERROR(__xludf.DUMMYFUNCTION("""COMPUTED_VALUE"""),33)</f>
        <v>33</v>
      </c>
    </row>
    <row r="319" spans="1:7" ht="22.5" customHeight="1" x14ac:dyDescent="0.2">
      <c r="A319" s="2" t="str">
        <f ca="1">IFERROR(__xludf.DUMMYFUNCTION("""COMPUTED_VALUE"""),"2024-01-27")</f>
        <v>2024-01-27</v>
      </c>
      <c r="B319" s="10" t="str">
        <f ca="1">IFERROR(__xludf.DUMMYFUNCTION("""COMPUTED_VALUE"""),"TikTok")</f>
        <v>TikTok</v>
      </c>
      <c r="C319" s="10" t="str">
        <f ca="1">IFERROR(__xludf.DUMMYFUNCTION("""COMPUTED_VALUE"""),"Influencer_Collab")</f>
        <v>Influencer_Collab</v>
      </c>
      <c r="D319" s="2">
        <f ca="1">IFERROR(__xludf.DUMMYFUNCTION("""COMPUTED_VALUE"""),423456)</f>
        <v>423456</v>
      </c>
      <c r="E319" s="2">
        <f ca="1">IFERROR(__xludf.DUMMYFUNCTION("""COMPUTED_VALUE"""),6789)</f>
        <v>6789</v>
      </c>
      <c r="F319" s="2">
        <f ca="1">IFERROR(__xludf.DUMMYFUNCTION("""COMPUTED_VALUE"""),1034.5)</f>
        <v>1034.5</v>
      </c>
      <c r="G319" s="2">
        <f ca="1">IFERROR(__xludf.DUMMYFUNCTION("""COMPUTED_VALUE"""),104)</f>
        <v>104</v>
      </c>
    </row>
    <row r="320" spans="1:7" ht="22.5" customHeight="1" x14ac:dyDescent="0.2">
      <c r="A320" s="2" t="str">
        <f ca="1">IFERROR(__xludf.DUMMYFUNCTION("""COMPUTED_VALUE"""),"2024-01-28")</f>
        <v>2024-01-28</v>
      </c>
      <c r="B320" s="10" t="str">
        <f ca="1">IFERROR(__xludf.DUMMYFUNCTION("""COMPUTED_VALUE"""),"TikTok")</f>
        <v>TikTok</v>
      </c>
      <c r="C320" s="10" t="str">
        <f ca="1">IFERROR(__xludf.DUMMYFUNCTION("""COMPUTED_VALUE"""),"Awareness_GenZ")</f>
        <v>Awareness_GenZ</v>
      </c>
      <c r="D320" s="2">
        <f ca="1">IFERROR(__xludf.DUMMYFUNCTION("""COMPUTED_VALUE"""),267890)</f>
        <v>267890</v>
      </c>
      <c r="E320" s="2">
        <f ca="1">IFERROR(__xludf.DUMMYFUNCTION("""COMPUTED_VALUE"""),3945)</f>
        <v>3945</v>
      </c>
      <c r="F320" s="2">
        <f ca="1">IFERROR(__xludf.DUMMYFUNCTION("""COMPUTED_VALUE"""),501.2)</f>
        <v>501.2</v>
      </c>
      <c r="G320" s="2">
        <f ca="1">IFERROR(__xludf.DUMMYFUNCTION("""COMPUTED_VALUE"""),40)</f>
        <v>40</v>
      </c>
    </row>
    <row r="321" spans="1:7" ht="22.5" customHeight="1" x14ac:dyDescent="0.2">
      <c r="A321" s="2" t="str">
        <f ca="1">IFERROR(__xludf.DUMMYFUNCTION("""COMPUTED_VALUE"""),"2024-01-28")</f>
        <v>2024-01-28</v>
      </c>
      <c r="B321" s="10" t="str">
        <f ca="1">IFERROR(__xludf.DUMMYFUNCTION("""COMPUTED_VALUE"""),"TikTok")</f>
        <v>TikTok</v>
      </c>
      <c r="C321" s="10" t="str">
        <f ca="1">IFERROR(__xludf.DUMMYFUNCTION("""COMPUTED_VALUE"""),"Conversion_Focus")</f>
        <v>Conversion_Focus</v>
      </c>
      <c r="D321" s="2">
        <f ca="1">IFERROR(__xludf.DUMMYFUNCTION("""COMPUTED_VALUE"""),148901)</f>
        <v>148901</v>
      </c>
      <c r="E321" s="2">
        <f ca="1">IFERROR(__xludf.DUMMYFUNCTION("""COMPUTED_VALUE"""),2834)</f>
        <v>2834</v>
      </c>
      <c r="F321" s="2">
        <f ca="1">IFERROR(__xludf.DUMMYFUNCTION("""COMPUTED_VALUE"""),756.7)</f>
        <v>756.7</v>
      </c>
      <c r="G321" s="2">
        <f ca="1">IFERROR(__xludf.DUMMYFUNCTION("""COMPUTED_VALUE"""),76)</f>
        <v>76</v>
      </c>
    </row>
    <row r="322" spans="1:7" ht="22.5" customHeight="1" x14ac:dyDescent="0.2">
      <c r="A322" s="2" t="str">
        <f ca="1">IFERROR(__xludf.DUMMYFUNCTION("""COMPUTED_VALUE"""),"2024-01-28")</f>
        <v>2024-01-28</v>
      </c>
      <c r="B322" s="10" t="str">
        <f ca="1">IFERROR(__xludf.DUMMYFUNCTION("""COMPUTED_VALUE"""),"TikTok")</f>
        <v>TikTok</v>
      </c>
      <c r="C322" s="10" t="str">
        <f ca="1">IFERROR(__xludf.DUMMYFUNCTION("""COMPUTED_VALUE"""),"Traffic_Campaign")</f>
        <v>Traffic_Campaign</v>
      </c>
      <c r="D322" s="2">
        <f ca="1">IFERROR(__xludf.DUMMYFUNCTION("""COMPUTED_VALUE"""),223456)</f>
        <v>223456</v>
      </c>
      <c r="E322" s="2">
        <f ca="1">IFERROR(__xludf.DUMMYFUNCTION("""COMPUTED_VALUE"""),3567)</f>
        <v>3567</v>
      </c>
      <c r="F322" s="2">
        <f ca="1">IFERROR(__xludf.DUMMYFUNCTION("""COMPUTED_VALUE"""),427.7)</f>
        <v>427.7</v>
      </c>
      <c r="G322" s="2">
        <f ca="1">IFERROR(__xludf.DUMMYFUNCTION("""COMPUTED_VALUE"""),30)</f>
        <v>30</v>
      </c>
    </row>
    <row r="323" spans="1:7" ht="22.5" customHeight="1" x14ac:dyDescent="0.2">
      <c r="A323" s="2" t="str">
        <f ca="1">IFERROR(__xludf.DUMMYFUNCTION("""COMPUTED_VALUE"""),"2024-01-28")</f>
        <v>2024-01-28</v>
      </c>
      <c r="B323" s="10" t="str">
        <f ca="1">IFERROR(__xludf.DUMMYFUNCTION("""COMPUTED_VALUE"""),"TikTok")</f>
        <v>TikTok</v>
      </c>
      <c r="C323" s="10" t="str">
        <f ca="1">IFERROR(__xludf.DUMMYFUNCTION("""COMPUTED_VALUE"""),"Influencer_Collab")</f>
        <v>Influencer_Collab</v>
      </c>
      <c r="D323" s="2">
        <f ca="1">IFERROR(__xludf.DUMMYFUNCTION("""COMPUTED_VALUE"""),401234)</f>
        <v>401234</v>
      </c>
      <c r="E323" s="2">
        <f ca="1">IFERROR(__xludf.DUMMYFUNCTION("""COMPUTED_VALUE"""),6456)</f>
        <v>6456</v>
      </c>
      <c r="F323" s="2">
        <f ca="1">IFERROR(__xludf.DUMMYFUNCTION("""COMPUTED_VALUE"""),989.9)</f>
        <v>989.9</v>
      </c>
      <c r="G323" s="2">
        <f ca="1">IFERROR(__xludf.DUMMYFUNCTION("""COMPUTED_VALUE"""),101)</f>
        <v>101</v>
      </c>
    </row>
    <row r="324" spans="1:7" ht="22.5" customHeight="1" x14ac:dyDescent="0.2">
      <c r="A324" s="2" t="str">
        <f ca="1">IFERROR(__xludf.DUMMYFUNCTION("""COMPUTED_VALUE"""),"2024-01-29")</f>
        <v>2024-01-29</v>
      </c>
      <c r="B324" s="10" t="str">
        <f ca="1">IFERROR(__xludf.DUMMYFUNCTION("""COMPUTED_VALUE"""),"TikTok")</f>
        <v>TikTok</v>
      </c>
      <c r="C324" s="10" t="str">
        <f ca="1">IFERROR(__xludf.DUMMYFUNCTION("""COMPUTED_VALUE"""),"Awareness_GenZ")</f>
        <v>Awareness_GenZ</v>
      </c>
      <c r="D324" s="2">
        <f ca="1">IFERROR(__xludf.DUMMYFUNCTION("""COMPUTED_VALUE"""),289012)</f>
        <v>289012</v>
      </c>
      <c r="E324" s="2">
        <f ca="1">IFERROR(__xludf.DUMMYFUNCTION("""COMPUTED_VALUE"""),4234)</f>
        <v>4234</v>
      </c>
      <c r="F324" s="2">
        <f ca="1">IFERROR(__xludf.DUMMYFUNCTION("""COMPUTED_VALUE"""),556.7)</f>
        <v>556.70000000000005</v>
      </c>
      <c r="G324" s="2">
        <f ca="1">IFERROR(__xludf.DUMMYFUNCTION("""COMPUTED_VALUE"""),43)</f>
        <v>43</v>
      </c>
    </row>
    <row r="325" spans="1:7" ht="22.5" customHeight="1" x14ac:dyDescent="0.2">
      <c r="A325" s="2" t="str">
        <f ca="1">IFERROR(__xludf.DUMMYFUNCTION("""COMPUTED_VALUE"""),"2024-01-29")</f>
        <v>2024-01-29</v>
      </c>
      <c r="B325" s="10" t="str">
        <f ca="1">IFERROR(__xludf.DUMMYFUNCTION("""COMPUTED_VALUE"""),"TikTok")</f>
        <v>TikTok</v>
      </c>
      <c r="C325" s="10" t="str">
        <f ca="1">IFERROR(__xludf.DUMMYFUNCTION("""COMPUTED_VALUE"""),"Conversion_Focus")</f>
        <v>Conversion_Focus</v>
      </c>
      <c r="D325" s="2">
        <f ca="1">IFERROR(__xludf.DUMMYFUNCTION("""COMPUTED_VALUE"""),156789)</f>
        <v>156789</v>
      </c>
      <c r="E325" s="2">
        <f ca="1">IFERROR(__xludf.DUMMYFUNCTION("""COMPUTED_VALUE"""),3012)</f>
        <v>3012</v>
      </c>
      <c r="F325" s="2">
        <f ca="1">IFERROR(__xludf.DUMMYFUNCTION("""COMPUTED_VALUE"""),812.3)</f>
        <v>812.3</v>
      </c>
      <c r="G325" s="2">
        <f ca="1">IFERROR(__xludf.DUMMYFUNCTION("""COMPUTED_VALUE"""),82)</f>
        <v>82</v>
      </c>
    </row>
    <row r="326" spans="1:7" ht="22.5" customHeight="1" x14ac:dyDescent="0.2">
      <c r="A326" s="2" t="str">
        <f ca="1">IFERROR(__xludf.DUMMYFUNCTION("""COMPUTED_VALUE"""),"2024-01-29")</f>
        <v>2024-01-29</v>
      </c>
      <c r="B326" s="10" t="str">
        <f ca="1">IFERROR(__xludf.DUMMYFUNCTION("""COMPUTED_VALUE"""),"TikTok")</f>
        <v>TikTok</v>
      </c>
      <c r="C326" s="10" t="str">
        <f ca="1">IFERROR(__xludf.DUMMYFUNCTION("""COMPUTED_VALUE"""),"Traffic_Campaign")</f>
        <v>Traffic_Campaign</v>
      </c>
      <c r="D326" s="2">
        <f ca="1">IFERROR(__xludf.DUMMYFUNCTION("""COMPUTED_VALUE"""),245678)</f>
        <v>245678</v>
      </c>
      <c r="E326" s="2">
        <f ca="1">IFERROR(__xludf.DUMMYFUNCTION("""COMPUTED_VALUE"""),3890)</f>
        <v>3890</v>
      </c>
      <c r="F326" s="2">
        <f ca="1">IFERROR(__xludf.DUMMYFUNCTION("""COMPUTED_VALUE"""),467.8)</f>
        <v>467.8</v>
      </c>
      <c r="G326" s="2">
        <f ca="1">IFERROR(__xludf.DUMMYFUNCTION("""COMPUTED_VALUE"""),34)</f>
        <v>34</v>
      </c>
    </row>
    <row r="327" spans="1:7" ht="22.5" customHeight="1" x14ac:dyDescent="0.2">
      <c r="A327" s="2" t="str">
        <f ca="1">IFERROR(__xludf.DUMMYFUNCTION("""COMPUTED_VALUE"""),"2024-01-29")</f>
        <v>2024-01-29</v>
      </c>
      <c r="B327" s="10" t="str">
        <f ca="1">IFERROR(__xludf.DUMMYFUNCTION("""COMPUTED_VALUE"""),"TikTok")</f>
        <v>TikTok</v>
      </c>
      <c r="C327" s="10" t="str">
        <f ca="1">IFERROR(__xludf.DUMMYFUNCTION("""COMPUTED_VALUE"""),"Influencer_Collab")</f>
        <v>Influencer_Collab</v>
      </c>
      <c r="D327" s="2">
        <f ca="1">IFERROR(__xludf.DUMMYFUNCTION("""COMPUTED_VALUE"""),423456)</f>
        <v>423456</v>
      </c>
      <c r="E327" s="2">
        <f ca="1">IFERROR(__xludf.DUMMYFUNCTION("""COMPUTED_VALUE"""),6890)</f>
        <v>6890</v>
      </c>
      <c r="F327" s="2">
        <f ca="1">IFERROR(__xludf.DUMMYFUNCTION("""COMPUTED_VALUE"""),1056.8)</f>
        <v>1056.8</v>
      </c>
      <c r="G327" s="2">
        <f ca="1">IFERROR(__xludf.DUMMYFUNCTION("""COMPUTED_VALUE"""),107)</f>
        <v>107</v>
      </c>
    </row>
    <row r="328" spans="1:7" ht="22.5" customHeight="1" x14ac:dyDescent="0.2">
      <c r="A328" s="2" t="str">
        <f ca="1">IFERROR(__xludf.DUMMYFUNCTION("""COMPUTED_VALUE"""),"2024-01-30")</f>
        <v>2024-01-30</v>
      </c>
      <c r="B328" s="10" t="str">
        <f ca="1">IFERROR(__xludf.DUMMYFUNCTION("""COMPUTED_VALUE"""),"TikTok")</f>
        <v>TikTok</v>
      </c>
      <c r="C328" s="10" t="str">
        <f ca="1">IFERROR(__xludf.DUMMYFUNCTION("""COMPUTED_VALUE"""),"Awareness_GenZ")</f>
        <v>Awareness_GenZ</v>
      </c>
      <c r="D328" s="2">
        <f ca="1">IFERROR(__xludf.DUMMYFUNCTION("""COMPUTED_VALUE"""),295678)</f>
        <v>295678</v>
      </c>
      <c r="E328" s="2">
        <f ca="1">IFERROR(__xludf.DUMMYFUNCTION("""COMPUTED_VALUE"""),4345)</f>
        <v>4345</v>
      </c>
      <c r="F328" s="2">
        <f ca="1">IFERROR(__xludf.DUMMYFUNCTION("""COMPUTED_VALUE"""),573.2)</f>
        <v>573.20000000000005</v>
      </c>
      <c r="G328" s="2">
        <f ca="1">IFERROR(__xludf.DUMMYFUNCTION("""COMPUTED_VALUE"""),44)</f>
        <v>44</v>
      </c>
    </row>
    <row r="329" spans="1:7" ht="22.5" customHeight="1" x14ac:dyDescent="0.2">
      <c r="A329" s="2" t="str">
        <f ca="1">IFERROR(__xludf.DUMMYFUNCTION("""COMPUTED_VALUE"""),"2024-01-30")</f>
        <v>2024-01-30</v>
      </c>
      <c r="B329" s="10" t="str">
        <f ca="1">IFERROR(__xludf.DUMMYFUNCTION("""COMPUTED_VALUE"""),"TikTok")</f>
        <v>TikTok</v>
      </c>
      <c r="C329" s="10" t="str">
        <f ca="1">IFERROR(__xludf.DUMMYFUNCTION("""COMPUTED_VALUE"""),"Conversion_Focus")</f>
        <v>Conversion_Focus</v>
      </c>
      <c r="D329" s="2">
        <f ca="1">IFERROR(__xludf.DUMMYFUNCTION("""COMPUTED_VALUE"""),161234)</f>
        <v>161234</v>
      </c>
      <c r="E329" s="2">
        <f ca="1">IFERROR(__xludf.DUMMYFUNCTION("""COMPUTED_VALUE"""),3089)</f>
        <v>3089</v>
      </c>
      <c r="F329" s="2">
        <f ca="1">IFERROR(__xludf.DUMMYFUNCTION("""COMPUTED_VALUE"""),823.7)</f>
        <v>823.7</v>
      </c>
      <c r="G329" s="2">
        <f ca="1">IFERROR(__xludf.DUMMYFUNCTION("""COMPUTED_VALUE"""),83)</f>
        <v>83</v>
      </c>
    </row>
    <row r="330" spans="1:7" ht="22.5" customHeight="1" x14ac:dyDescent="0.2">
      <c r="A330" s="2" t="str">
        <f ca="1">IFERROR(__xludf.DUMMYFUNCTION("""COMPUTED_VALUE"""),"2024-01-30")</f>
        <v>2024-01-30</v>
      </c>
      <c r="B330" s="10" t="str">
        <f ca="1">IFERROR(__xludf.DUMMYFUNCTION("""COMPUTED_VALUE"""),"TikTok")</f>
        <v>TikTok</v>
      </c>
      <c r="C330" s="10" t="str">
        <f ca="1">IFERROR(__xludf.DUMMYFUNCTION("""COMPUTED_VALUE"""),"Traffic_Campaign")</f>
        <v>Traffic_Campaign</v>
      </c>
      <c r="D330" s="2">
        <f ca="1">IFERROR(__xludf.DUMMYFUNCTION("""COMPUTED_VALUE"""),251234)</f>
        <v>251234</v>
      </c>
      <c r="E330" s="2">
        <f ca="1">IFERROR(__xludf.DUMMYFUNCTION("""COMPUTED_VALUE"""),3967)</f>
        <v>3967</v>
      </c>
      <c r="F330" s="2">
        <f ca="1">IFERROR(__xludf.DUMMYFUNCTION("""COMPUTED_VALUE"""),481.5)</f>
        <v>481.5</v>
      </c>
      <c r="G330" s="2">
        <f ca="1">IFERROR(__xludf.DUMMYFUNCTION("""COMPUTED_VALUE"""),35)</f>
        <v>35</v>
      </c>
    </row>
    <row r="331" spans="1:7" ht="22.5" customHeight="1" x14ac:dyDescent="0.2">
      <c r="A331" s="2" t="str">
        <f ca="1">IFERROR(__xludf.DUMMYFUNCTION("""COMPUTED_VALUE"""),"2024-01-30")</f>
        <v>2024-01-30</v>
      </c>
      <c r="B331" s="10" t="str">
        <f ca="1">IFERROR(__xludf.DUMMYFUNCTION("""COMPUTED_VALUE"""),"TikTok")</f>
        <v>TikTok</v>
      </c>
      <c r="C331" s="10" t="str">
        <f ca="1">IFERROR(__xludf.DUMMYFUNCTION("""COMPUTED_VALUE"""),"Influencer_Collab")</f>
        <v>Influencer_Collab</v>
      </c>
      <c r="D331" s="2">
        <f ca="1">IFERROR(__xludf.DUMMYFUNCTION("""COMPUTED_VALUE"""),434567)</f>
        <v>434567</v>
      </c>
      <c r="E331" s="2">
        <f ca="1">IFERROR(__xludf.DUMMYFUNCTION("""COMPUTED_VALUE"""),7012)</f>
        <v>7012</v>
      </c>
      <c r="F331" s="2">
        <f ca="1">IFERROR(__xludf.DUMMYFUNCTION("""COMPUTED_VALUE"""),1089.3)</f>
        <v>1089.3</v>
      </c>
      <c r="G331" s="2">
        <f ca="1">IFERROR(__xludf.DUMMYFUNCTION("""COMPUTED_VALUE"""),109)</f>
        <v>109</v>
      </c>
    </row>
    <row r="332" spans="1:7" x14ac:dyDescent="0.2"/>
    <row r="333" spans="1:7" x14ac:dyDescent="0.2"/>
    <row r="334" spans="1:7" x14ac:dyDescent="0.2"/>
    <row r="335" spans="1:7" x14ac:dyDescent="0.2"/>
    <row r="336" spans="1:7" x14ac:dyDescent="0.2"/>
    <row r="337" x14ac:dyDescent="0.2"/>
    <row r="338" x14ac:dyDescent="0.2"/>
    <row r="339" x14ac:dyDescent="0.2"/>
    <row r="340" x14ac:dyDescent="0.2"/>
    <row r="341" x14ac:dyDescent="0.2"/>
    <row r="342" x14ac:dyDescent="0.2"/>
    <row r="343" x14ac:dyDescent="0.2"/>
    <row r="344" x14ac:dyDescent="0.2"/>
    <row r="345" x14ac:dyDescent="0.2"/>
    <row r="346" x14ac:dyDescent="0.2"/>
    <row r="347" x14ac:dyDescent="0.2"/>
    <row r="348" x14ac:dyDescent="0.2"/>
    <row r="349" x14ac:dyDescent="0.2"/>
    <row r="350" x14ac:dyDescent="0.2"/>
    <row r="351" x14ac:dyDescent="0.2"/>
    <row r="352" x14ac:dyDescent="0.2"/>
    <row r="353" x14ac:dyDescent="0.2"/>
    <row r="354" x14ac:dyDescent="0.2"/>
    <row r="355" x14ac:dyDescent="0.2"/>
    <row r="356" x14ac:dyDescent="0.2"/>
    <row r="357" x14ac:dyDescent="0.2"/>
    <row r="358" x14ac:dyDescent="0.2"/>
    <row r="359" x14ac:dyDescent="0.2"/>
    <row r="360" x14ac:dyDescent="0.2"/>
    <row r="361" x14ac:dyDescent="0.2"/>
    <row r="362" x14ac:dyDescent="0.2"/>
    <row r="363" x14ac:dyDescent="0.2"/>
    <row r="364" x14ac:dyDescent="0.2"/>
    <row r="365" x14ac:dyDescent="0.2"/>
    <row r="366" x14ac:dyDescent="0.2"/>
    <row r="367" x14ac:dyDescent="0.2"/>
    <row r="368" x14ac:dyDescent="0.2"/>
    <row r="369" x14ac:dyDescent="0.2"/>
    <row r="370" x14ac:dyDescent="0.2"/>
    <row r="371" x14ac:dyDescent="0.2"/>
    <row r="372" x14ac:dyDescent="0.2"/>
    <row r="373" x14ac:dyDescent="0.2"/>
    <row r="374" x14ac:dyDescent="0.2"/>
    <row r="375" x14ac:dyDescent="0.2"/>
    <row r="376" x14ac:dyDescent="0.2"/>
    <row r="377" x14ac:dyDescent="0.2"/>
    <row r="378" x14ac:dyDescent="0.2"/>
    <row r="379" x14ac:dyDescent="0.2"/>
    <row r="380" x14ac:dyDescent="0.2"/>
    <row r="381" x14ac:dyDescent="0.2"/>
    <row r="382" x14ac:dyDescent="0.2"/>
    <row r="383" x14ac:dyDescent="0.2"/>
    <row r="384" x14ac:dyDescent="0.2"/>
    <row r="385" x14ac:dyDescent="0.2"/>
    <row r="386" x14ac:dyDescent="0.2"/>
    <row r="387" x14ac:dyDescent="0.2"/>
    <row r="388" x14ac:dyDescent="0.2"/>
    <row r="389" x14ac:dyDescent="0.2"/>
    <row r="390" x14ac:dyDescent="0.2"/>
    <row r="391" x14ac:dyDescent="0.2"/>
    <row r="392" x14ac:dyDescent="0.2"/>
    <row r="393" x14ac:dyDescent="0.2"/>
    <row r="394" x14ac:dyDescent="0.2"/>
    <row r="395" x14ac:dyDescent="0.2"/>
    <row r="396" x14ac:dyDescent="0.2"/>
    <row r="397" x14ac:dyDescent="0.2"/>
    <row r="398" x14ac:dyDescent="0.2"/>
    <row r="399" x14ac:dyDescent="0.2"/>
    <row r="400" x14ac:dyDescent="0.2"/>
    <row r="401" x14ac:dyDescent="0.2"/>
    <row r="402" x14ac:dyDescent="0.2"/>
    <row r="403" x14ac:dyDescent="0.2"/>
    <row r="404" x14ac:dyDescent="0.2"/>
    <row r="405" x14ac:dyDescent="0.2"/>
    <row r="406" x14ac:dyDescent="0.2"/>
    <row r="407" x14ac:dyDescent="0.2"/>
    <row r="408" x14ac:dyDescent="0.2"/>
    <row r="409" x14ac:dyDescent="0.2"/>
    <row r="410" x14ac:dyDescent="0.2"/>
    <row r="411" x14ac:dyDescent="0.2"/>
    <row r="412" x14ac:dyDescent="0.2"/>
    <row r="413" x14ac:dyDescent="0.2"/>
    <row r="414" x14ac:dyDescent="0.2"/>
    <row r="415" x14ac:dyDescent="0.2"/>
    <row r="416" x14ac:dyDescent="0.2"/>
    <row r="417" x14ac:dyDescent="0.2"/>
    <row r="418" x14ac:dyDescent="0.2"/>
    <row r="419" x14ac:dyDescent="0.2"/>
    <row r="420" x14ac:dyDescent="0.2"/>
    <row r="421" x14ac:dyDescent="0.2"/>
    <row r="422" x14ac:dyDescent="0.2"/>
    <row r="423" x14ac:dyDescent="0.2"/>
    <row r="424" x14ac:dyDescent="0.2"/>
    <row r="425" x14ac:dyDescent="0.2"/>
    <row r="426" x14ac:dyDescent="0.2"/>
    <row r="427" x14ac:dyDescent="0.2"/>
    <row r="428" x14ac:dyDescent="0.2"/>
    <row r="429" x14ac:dyDescent="0.2"/>
    <row r="430" x14ac:dyDescent="0.2"/>
    <row r="431" x14ac:dyDescent="0.2"/>
    <row r="432" x14ac:dyDescent="0.2"/>
    <row r="433" x14ac:dyDescent="0.2"/>
    <row r="434" x14ac:dyDescent="0.2"/>
    <row r="435" x14ac:dyDescent="0.2"/>
    <row r="436" x14ac:dyDescent="0.2"/>
    <row r="437" x14ac:dyDescent="0.2"/>
    <row r="438" x14ac:dyDescent="0.2"/>
    <row r="439" x14ac:dyDescent="0.2"/>
    <row r="440" x14ac:dyDescent="0.2"/>
    <row r="441" x14ac:dyDescent="0.2"/>
    <row r="442" x14ac:dyDescent="0.2"/>
    <row r="443" x14ac:dyDescent="0.2"/>
    <row r="444" x14ac:dyDescent="0.2"/>
    <row r="445" x14ac:dyDescent="0.2"/>
    <row r="446" x14ac:dyDescent="0.2"/>
    <row r="447" x14ac:dyDescent="0.2"/>
    <row r="448" x14ac:dyDescent="0.2"/>
    <row r="449" x14ac:dyDescent="0.2"/>
    <row r="450" x14ac:dyDescent="0.2"/>
    <row r="451" x14ac:dyDescent="0.2"/>
    <row r="452" x14ac:dyDescent="0.2"/>
    <row r="453" x14ac:dyDescent="0.2"/>
    <row r="454" x14ac:dyDescent="0.2"/>
    <row r="455" x14ac:dyDescent="0.2"/>
    <row r="456" x14ac:dyDescent="0.2"/>
    <row r="457" x14ac:dyDescent="0.2"/>
    <row r="458" x14ac:dyDescent="0.2"/>
    <row r="459" x14ac:dyDescent="0.2"/>
    <row r="460" x14ac:dyDescent="0.2"/>
    <row r="461" x14ac:dyDescent="0.2"/>
    <row r="462" x14ac:dyDescent="0.2"/>
    <row r="463" x14ac:dyDescent="0.2"/>
    <row r="464" x14ac:dyDescent="0.2"/>
    <row r="465" x14ac:dyDescent="0.2"/>
    <row r="466" x14ac:dyDescent="0.2"/>
    <row r="467" x14ac:dyDescent="0.2"/>
    <row r="468" x14ac:dyDescent="0.2"/>
    <row r="469" x14ac:dyDescent="0.2"/>
    <row r="470" x14ac:dyDescent="0.2"/>
    <row r="471" x14ac:dyDescent="0.2"/>
    <row r="472" x14ac:dyDescent="0.2"/>
    <row r="473" x14ac:dyDescent="0.2"/>
    <row r="474" x14ac:dyDescent="0.2"/>
    <row r="475" x14ac:dyDescent="0.2"/>
    <row r="476" x14ac:dyDescent="0.2"/>
    <row r="477" x14ac:dyDescent="0.2"/>
    <row r="478" x14ac:dyDescent="0.2"/>
    <row r="479" x14ac:dyDescent="0.2"/>
    <row r="480" x14ac:dyDescent="0.2"/>
    <row r="481" x14ac:dyDescent="0.2"/>
    <row r="482" x14ac:dyDescent="0.2"/>
    <row r="483" x14ac:dyDescent="0.2"/>
    <row r="484" x14ac:dyDescent="0.2"/>
    <row r="485" x14ac:dyDescent="0.2"/>
    <row r="486" x14ac:dyDescent="0.2"/>
    <row r="487" x14ac:dyDescent="0.2"/>
    <row r="488" x14ac:dyDescent="0.2"/>
    <row r="489" x14ac:dyDescent="0.2"/>
    <row r="490" x14ac:dyDescent="0.2"/>
    <row r="491" x14ac:dyDescent="0.2"/>
    <row r="492" x14ac:dyDescent="0.2"/>
    <row r="493" x14ac:dyDescent="0.2"/>
    <row r="494" x14ac:dyDescent="0.2"/>
    <row r="495" x14ac:dyDescent="0.2"/>
    <row r="496" x14ac:dyDescent="0.2"/>
    <row r="497" x14ac:dyDescent="0.2"/>
    <row r="498" x14ac:dyDescent="0.2"/>
    <row r="499" x14ac:dyDescent="0.2"/>
    <row r="500" x14ac:dyDescent="0.2"/>
    <row r="501" x14ac:dyDescent="0.2"/>
    <row r="502" x14ac:dyDescent="0.2"/>
    <row r="503" x14ac:dyDescent="0.2"/>
    <row r="504" x14ac:dyDescent="0.2"/>
    <row r="505" x14ac:dyDescent="0.2"/>
    <row r="506" x14ac:dyDescent="0.2"/>
    <row r="507" x14ac:dyDescent="0.2"/>
    <row r="508" x14ac:dyDescent="0.2"/>
    <row r="509" x14ac:dyDescent="0.2"/>
    <row r="510" x14ac:dyDescent="0.2"/>
    <row r="511" x14ac:dyDescent="0.2"/>
    <row r="512" x14ac:dyDescent="0.2"/>
    <row r="513" x14ac:dyDescent="0.2"/>
    <row r="514" x14ac:dyDescent="0.2"/>
    <row r="515" x14ac:dyDescent="0.2"/>
    <row r="516" x14ac:dyDescent="0.2"/>
    <row r="517" x14ac:dyDescent="0.2"/>
    <row r="518" x14ac:dyDescent="0.2"/>
    <row r="519" x14ac:dyDescent="0.2"/>
    <row r="520" x14ac:dyDescent="0.2"/>
    <row r="521" x14ac:dyDescent="0.2"/>
    <row r="522" x14ac:dyDescent="0.2"/>
    <row r="523" x14ac:dyDescent="0.2"/>
    <row r="524" x14ac:dyDescent="0.2"/>
    <row r="525" x14ac:dyDescent="0.2"/>
    <row r="526" x14ac:dyDescent="0.2"/>
    <row r="527" x14ac:dyDescent="0.2"/>
    <row r="528" x14ac:dyDescent="0.2"/>
    <row r="529" x14ac:dyDescent="0.2"/>
    <row r="530" x14ac:dyDescent="0.2"/>
    <row r="531" x14ac:dyDescent="0.2"/>
    <row r="532" x14ac:dyDescent="0.2"/>
    <row r="533" x14ac:dyDescent="0.2"/>
    <row r="534" x14ac:dyDescent="0.2"/>
    <row r="535" x14ac:dyDescent="0.2"/>
    <row r="536" x14ac:dyDescent="0.2"/>
    <row r="537" x14ac:dyDescent="0.2"/>
    <row r="538" x14ac:dyDescent="0.2"/>
    <row r="539" x14ac:dyDescent="0.2"/>
    <row r="540" x14ac:dyDescent="0.2"/>
    <row r="541" x14ac:dyDescent="0.2"/>
    <row r="542" x14ac:dyDescent="0.2"/>
    <row r="543" x14ac:dyDescent="0.2"/>
    <row r="544" x14ac:dyDescent="0.2"/>
    <row r="545" x14ac:dyDescent="0.2"/>
    <row r="546" x14ac:dyDescent="0.2"/>
    <row r="547" x14ac:dyDescent="0.2"/>
    <row r="548" x14ac:dyDescent="0.2"/>
    <row r="549" x14ac:dyDescent="0.2"/>
    <row r="550" x14ac:dyDescent="0.2"/>
    <row r="551" x14ac:dyDescent="0.2"/>
    <row r="552" x14ac:dyDescent="0.2"/>
    <row r="553" x14ac:dyDescent="0.2"/>
    <row r="554" x14ac:dyDescent="0.2"/>
    <row r="555" x14ac:dyDescent="0.2"/>
    <row r="556" x14ac:dyDescent="0.2"/>
    <row r="557" x14ac:dyDescent="0.2"/>
    <row r="558" x14ac:dyDescent="0.2"/>
    <row r="559" x14ac:dyDescent="0.2"/>
    <row r="560" x14ac:dyDescent="0.2"/>
    <row r="561" x14ac:dyDescent="0.2"/>
    <row r="562" x14ac:dyDescent="0.2"/>
    <row r="563" x14ac:dyDescent="0.2"/>
    <row r="564" x14ac:dyDescent="0.2"/>
    <row r="565" x14ac:dyDescent="0.2"/>
    <row r="566" x14ac:dyDescent="0.2"/>
    <row r="567" x14ac:dyDescent="0.2"/>
    <row r="568" x14ac:dyDescent="0.2"/>
    <row r="569" x14ac:dyDescent="0.2"/>
    <row r="570" x14ac:dyDescent="0.2"/>
    <row r="571" x14ac:dyDescent="0.2"/>
    <row r="572" x14ac:dyDescent="0.2"/>
    <row r="573" x14ac:dyDescent="0.2"/>
    <row r="574" x14ac:dyDescent="0.2"/>
    <row r="575" x14ac:dyDescent="0.2"/>
    <row r="576" x14ac:dyDescent="0.2"/>
    <row r="577" x14ac:dyDescent="0.2"/>
    <row r="578" x14ac:dyDescent="0.2"/>
    <row r="579" x14ac:dyDescent="0.2"/>
    <row r="580" x14ac:dyDescent="0.2"/>
    <row r="581" x14ac:dyDescent="0.2"/>
    <row r="582" x14ac:dyDescent="0.2"/>
    <row r="583" x14ac:dyDescent="0.2"/>
    <row r="584" x14ac:dyDescent="0.2"/>
    <row r="585" x14ac:dyDescent="0.2"/>
    <row r="586" x14ac:dyDescent="0.2"/>
    <row r="587" x14ac:dyDescent="0.2"/>
    <row r="588" x14ac:dyDescent="0.2"/>
    <row r="589" x14ac:dyDescent="0.2"/>
    <row r="590" x14ac:dyDescent="0.2"/>
    <row r="591" x14ac:dyDescent="0.2"/>
    <row r="592" x14ac:dyDescent="0.2"/>
    <row r="593" x14ac:dyDescent="0.2"/>
    <row r="594" x14ac:dyDescent="0.2"/>
    <row r="595" x14ac:dyDescent="0.2"/>
    <row r="596" x14ac:dyDescent="0.2"/>
    <row r="597" x14ac:dyDescent="0.2"/>
    <row r="598" x14ac:dyDescent="0.2"/>
    <row r="599" x14ac:dyDescent="0.2"/>
    <row r="600" x14ac:dyDescent="0.2"/>
    <row r="601" x14ac:dyDescent="0.2"/>
    <row r="602" x14ac:dyDescent="0.2"/>
    <row r="603" x14ac:dyDescent="0.2"/>
    <row r="604" x14ac:dyDescent="0.2"/>
    <row r="605" x14ac:dyDescent="0.2"/>
    <row r="606" x14ac:dyDescent="0.2"/>
    <row r="607" x14ac:dyDescent="0.2"/>
    <row r="608" x14ac:dyDescent="0.2"/>
    <row r="609" x14ac:dyDescent="0.2"/>
    <row r="610" x14ac:dyDescent="0.2"/>
    <row r="611" x14ac:dyDescent="0.2"/>
    <row r="612" x14ac:dyDescent="0.2"/>
    <row r="613" x14ac:dyDescent="0.2"/>
    <row r="614" x14ac:dyDescent="0.2"/>
    <row r="615" x14ac:dyDescent="0.2"/>
    <row r="616" x14ac:dyDescent="0.2"/>
    <row r="617" x14ac:dyDescent="0.2"/>
    <row r="618" x14ac:dyDescent="0.2"/>
    <row r="619" x14ac:dyDescent="0.2"/>
    <row r="620" x14ac:dyDescent="0.2"/>
    <row r="621" x14ac:dyDescent="0.2"/>
    <row r="622" x14ac:dyDescent="0.2"/>
    <row r="623" x14ac:dyDescent="0.2"/>
    <row r="624" x14ac:dyDescent="0.2"/>
    <row r="625" x14ac:dyDescent="0.2"/>
    <row r="626" x14ac:dyDescent="0.2"/>
    <row r="627" x14ac:dyDescent="0.2"/>
    <row r="628" x14ac:dyDescent="0.2"/>
    <row r="629" x14ac:dyDescent="0.2"/>
    <row r="630" x14ac:dyDescent="0.2"/>
    <row r="631" x14ac:dyDescent="0.2"/>
    <row r="632" x14ac:dyDescent="0.2"/>
    <row r="633" x14ac:dyDescent="0.2"/>
    <row r="634" x14ac:dyDescent="0.2"/>
    <row r="635" x14ac:dyDescent="0.2"/>
    <row r="636" x14ac:dyDescent="0.2"/>
    <row r="637" x14ac:dyDescent="0.2"/>
    <row r="638" x14ac:dyDescent="0.2"/>
    <row r="639" x14ac:dyDescent="0.2"/>
    <row r="640" x14ac:dyDescent="0.2"/>
    <row r="641" x14ac:dyDescent="0.2"/>
    <row r="642" x14ac:dyDescent="0.2"/>
    <row r="643" x14ac:dyDescent="0.2"/>
    <row r="644" x14ac:dyDescent="0.2"/>
    <row r="645" x14ac:dyDescent="0.2"/>
    <row r="646" x14ac:dyDescent="0.2"/>
    <row r="647" x14ac:dyDescent="0.2"/>
    <row r="648" x14ac:dyDescent="0.2"/>
    <row r="649" x14ac:dyDescent="0.2"/>
    <row r="650" x14ac:dyDescent="0.2"/>
    <row r="651" x14ac:dyDescent="0.2"/>
    <row r="652" x14ac:dyDescent="0.2"/>
    <row r="653" x14ac:dyDescent="0.2"/>
    <row r="654" x14ac:dyDescent="0.2"/>
    <row r="655" x14ac:dyDescent="0.2"/>
    <row r="656" x14ac:dyDescent="0.2"/>
    <row r="657" x14ac:dyDescent="0.2"/>
    <row r="658" x14ac:dyDescent="0.2"/>
    <row r="659" x14ac:dyDescent="0.2"/>
    <row r="660" x14ac:dyDescent="0.2"/>
    <row r="661" x14ac:dyDescent="0.2"/>
    <row r="662" x14ac:dyDescent="0.2"/>
    <row r="663" x14ac:dyDescent="0.2"/>
    <row r="664" x14ac:dyDescent="0.2"/>
    <row r="665" x14ac:dyDescent="0.2"/>
    <row r="666" x14ac:dyDescent="0.2"/>
    <row r="667" x14ac:dyDescent="0.2"/>
    <row r="668" x14ac:dyDescent="0.2"/>
    <row r="669" x14ac:dyDescent="0.2"/>
    <row r="670" x14ac:dyDescent="0.2"/>
    <row r="671" x14ac:dyDescent="0.2"/>
    <row r="672" x14ac:dyDescent="0.2"/>
    <row r="673" x14ac:dyDescent="0.2"/>
    <row r="674" x14ac:dyDescent="0.2"/>
    <row r="675" x14ac:dyDescent="0.2"/>
    <row r="676" x14ac:dyDescent="0.2"/>
    <row r="677" x14ac:dyDescent="0.2"/>
    <row r="678" x14ac:dyDescent="0.2"/>
    <row r="679" x14ac:dyDescent="0.2"/>
    <row r="680" x14ac:dyDescent="0.2"/>
    <row r="681" x14ac:dyDescent="0.2"/>
    <row r="682" x14ac:dyDescent="0.2"/>
    <row r="683" x14ac:dyDescent="0.2"/>
    <row r="684" x14ac:dyDescent="0.2"/>
    <row r="685" x14ac:dyDescent="0.2"/>
    <row r="686" x14ac:dyDescent="0.2"/>
    <row r="687" x14ac:dyDescent="0.2"/>
    <row r="688" x14ac:dyDescent="0.2"/>
    <row r="689" x14ac:dyDescent="0.2"/>
    <row r="690" x14ac:dyDescent="0.2"/>
    <row r="691" x14ac:dyDescent="0.2"/>
    <row r="692" x14ac:dyDescent="0.2"/>
    <row r="693" x14ac:dyDescent="0.2"/>
    <row r="694" x14ac:dyDescent="0.2"/>
    <row r="695" x14ac:dyDescent="0.2"/>
    <row r="696" x14ac:dyDescent="0.2"/>
    <row r="697" x14ac:dyDescent="0.2"/>
    <row r="698" x14ac:dyDescent="0.2"/>
    <row r="699" x14ac:dyDescent="0.2"/>
    <row r="700" x14ac:dyDescent="0.2"/>
    <row r="701" x14ac:dyDescent="0.2"/>
    <row r="702" x14ac:dyDescent="0.2"/>
    <row r="703" x14ac:dyDescent="0.2"/>
    <row r="704" x14ac:dyDescent="0.2"/>
    <row r="705" x14ac:dyDescent="0.2"/>
    <row r="706" x14ac:dyDescent="0.2"/>
    <row r="707" x14ac:dyDescent="0.2"/>
    <row r="708" x14ac:dyDescent="0.2"/>
    <row r="709" x14ac:dyDescent="0.2"/>
    <row r="710" x14ac:dyDescent="0.2"/>
    <row r="711" x14ac:dyDescent="0.2"/>
    <row r="712" x14ac:dyDescent="0.2"/>
    <row r="713" x14ac:dyDescent="0.2"/>
    <row r="714" x14ac:dyDescent="0.2"/>
    <row r="715" x14ac:dyDescent="0.2"/>
    <row r="716" x14ac:dyDescent="0.2"/>
    <row r="717" x14ac:dyDescent="0.2"/>
    <row r="718" x14ac:dyDescent="0.2"/>
    <row r="719" x14ac:dyDescent="0.2"/>
    <row r="720" x14ac:dyDescent="0.2"/>
    <row r="721" x14ac:dyDescent="0.2"/>
    <row r="722" x14ac:dyDescent="0.2"/>
    <row r="723" x14ac:dyDescent="0.2"/>
    <row r="724" x14ac:dyDescent="0.2"/>
    <row r="725" x14ac:dyDescent="0.2"/>
    <row r="726" x14ac:dyDescent="0.2"/>
    <row r="727" x14ac:dyDescent="0.2"/>
    <row r="728" x14ac:dyDescent="0.2"/>
    <row r="729" x14ac:dyDescent="0.2"/>
    <row r="730" x14ac:dyDescent="0.2"/>
    <row r="731" x14ac:dyDescent="0.2"/>
    <row r="732" x14ac:dyDescent="0.2"/>
    <row r="733" x14ac:dyDescent="0.2"/>
    <row r="734" x14ac:dyDescent="0.2"/>
    <row r="735" x14ac:dyDescent="0.2"/>
    <row r="736" x14ac:dyDescent="0.2"/>
    <row r="737" x14ac:dyDescent="0.2"/>
    <row r="738" x14ac:dyDescent="0.2"/>
    <row r="739" x14ac:dyDescent="0.2"/>
    <row r="740" x14ac:dyDescent="0.2"/>
    <row r="741" x14ac:dyDescent="0.2"/>
    <row r="742" x14ac:dyDescent="0.2"/>
    <row r="743" x14ac:dyDescent="0.2"/>
    <row r="744" x14ac:dyDescent="0.2"/>
    <row r="745" x14ac:dyDescent="0.2"/>
    <row r="746" x14ac:dyDescent="0.2"/>
    <row r="747" x14ac:dyDescent="0.2"/>
    <row r="748" x14ac:dyDescent="0.2"/>
    <row r="749" x14ac:dyDescent="0.2"/>
    <row r="750" x14ac:dyDescent="0.2"/>
    <row r="751" x14ac:dyDescent="0.2"/>
    <row r="752" x14ac:dyDescent="0.2"/>
    <row r="753" x14ac:dyDescent="0.2"/>
    <row r="754" x14ac:dyDescent="0.2"/>
    <row r="755" x14ac:dyDescent="0.2"/>
    <row r="756" x14ac:dyDescent="0.2"/>
    <row r="757" x14ac:dyDescent="0.2"/>
    <row r="758" x14ac:dyDescent="0.2"/>
    <row r="759" x14ac:dyDescent="0.2"/>
    <row r="760" x14ac:dyDescent="0.2"/>
    <row r="761" x14ac:dyDescent="0.2"/>
    <row r="762" x14ac:dyDescent="0.2"/>
    <row r="763" x14ac:dyDescent="0.2"/>
    <row r="764" x14ac:dyDescent="0.2"/>
    <row r="765" x14ac:dyDescent="0.2"/>
    <row r="766" x14ac:dyDescent="0.2"/>
    <row r="767" x14ac:dyDescent="0.2"/>
    <row r="768" x14ac:dyDescent="0.2"/>
    <row r="769" x14ac:dyDescent="0.2"/>
    <row r="770" x14ac:dyDescent="0.2"/>
    <row r="771" x14ac:dyDescent="0.2"/>
    <row r="772" x14ac:dyDescent="0.2"/>
    <row r="773" x14ac:dyDescent="0.2"/>
    <row r="774" x14ac:dyDescent="0.2"/>
    <row r="775" x14ac:dyDescent="0.2"/>
    <row r="776" x14ac:dyDescent="0.2"/>
    <row r="777" x14ac:dyDescent="0.2"/>
    <row r="778" x14ac:dyDescent="0.2"/>
    <row r="779" x14ac:dyDescent="0.2"/>
    <row r="780" x14ac:dyDescent="0.2"/>
    <row r="781" x14ac:dyDescent="0.2"/>
    <row r="782" x14ac:dyDescent="0.2"/>
    <row r="783" x14ac:dyDescent="0.2"/>
    <row r="784" x14ac:dyDescent="0.2"/>
    <row r="785" x14ac:dyDescent="0.2"/>
    <row r="786" x14ac:dyDescent="0.2"/>
    <row r="787" x14ac:dyDescent="0.2"/>
    <row r="788" x14ac:dyDescent="0.2"/>
    <row r="789" x14ac:dyDescent="0.2"/>
    <row r="790" x14ac:dyDescent="0.2"/>
    <row r="791" x14ac:dyDescent="0.2"/>
    <row r="792" x14ac:dyDescent="0.2"/>
    <row r="793" x14ac:dyDescent="0.2"/>
    <row r="794" x14ac:dyDescent="0.2"/>
    <row r="795" x14ac:dyDescent="0.2"/>
    <row r="796" x14ac:dyDescent="0.2"/>
    <row r="797" x14ac:dyDescent="0.2"/>
    <row r="798" x14ac:dyDescent="0.2"/>
    <row r="799" x14ac:dyDescent="0.2"/>
    <row r="800" x14ac:dyDescent="0.2"/>
    <row r="801" x14ac:dyDescent="0.2"/>
    <row r="802" x14ac:dyDescent="0.2"/>
    <row r="803" x14ac:dyDescent="0.2"/>
    <row r="804" x14ac:dyDescent="0.2"/>
    <row r="805" x14ac:dyDescent="0.2"/>
    <row r="806" x14ac:dyDescent="0.2"/>
    <row r="807" x14ac:dyDescent="0.2"/>
    <row r="808" x14ac:dyDescent="0.2"/>
    <row r="809" x14ac:dyDescent="0.2"/>
    <row r="810" x14ac:dyDescent="0.2"/>
    <row r="811" x14ac:dyDescent="0.2"/>
    <row r="812" x14ac:dyDescent="0.2"/>
    <row r="813" x14ac:dyDescent="0.2"/>
    <row r="814" x14ac:dyDescent="0.2"/>
    <row r="815" x14ac:dyDescent="0.2"/>
    <row r="816" x14ac:dyDescent="0.2"/>
    <row r="817" x14ac:dyDescent="0.2"/>
    <row r="818" x14ac:dyDescent="0.2"/>
    <row r="819" x14ac:dyDescent="0.2"/>
    <row r="820" x14ac:dyDescent="0.2"/>
    <row r="821" x14ac:dyDescent="0.2"/>
    <row r="822" x14ac:dyDescent="0.2"/>
    <row r="823" x14ac:dyDescent="0.2"/>
    <row r="824" x14ac:dyDescent="0.2"/>
    <row r="825" x14ac:dyDescent="0.2"/>
    <row r="826" x14ac:dyDescent="0.2"/>
    <row r="827" x14ac:dyDescent="0.2"/>
    <row r="828" x14ac:dyDescent="0.2"/>
    <row r="829" x14ac:dyDescent="0.2"/>
    <row r="830" x14ac:dyDescent="0.2"/>
    <row r="831" x14ac:dyDescent="0.2"/>
    <row r="832" x14ac:dyDescent="0.2"/>
    <row r="833" x14ac:dyDescent="0.2"/>
    <row r="834" x14ac:dyDescent="0.2"/>
    <row r="835" x14ac:dyDescent="0.2"/>
    <row r="836" x14ac:dyDescent="0.2"/>
    <row r="837" x14ac:dyDescent="0.2"/>
    <row r="838" x14ac:dyDescent="0.2"/>
    <row r="839" x14ac:dyDescent="0.2"/>
    <row r="840" x14ac:dyDescent="0.2"/>
    <row r="841" x14ac:dyDescent="0.2"/>
    <row r="842" x14ac:dyDescent="0.2"/>
    <row r="843" x14ac:dyDescent="0.2"/>
    <row r="844" x14ac:dyDescent="0.2"/>
    <row r="845" x14ac:dyDescent="0.2"/>
    <row r="846" x14ac:dyDescent="0.2"/>
    <row r="847" x14ac:dyDescent="0.2"/>
    <row r="848" x14ac:dyDescent="0.2"/>
    <row r="849" x14ac:dyDescent="0.2"/>
    <row r="850" x14ac:dyDescent="0.2"/>
    <row r="851" x14ac:dyDescent="0.2"/>
    <row r="852" x14ac:dyDescent="0.2"/>
    <row r="853" x14ac:dyDescent="0.2"/>
    <row r="854" x14ac:dyDescent="0.2"/>
    <row r="855" x14ac:dyDescent="0.2"/>
    <row r="856" x14ac:dyDescent="0.2"/>
    <row r="857" x14ac:dyDescent="0.2"/>
    <row r="858" x14ac:dyDescent="0.2"/>
    <row r="859" x14ac:dyDescent="0.2"/>
    <row r="860" x14ac:dyDescent="0.2"/>
    <row r="861" x14ac:dyDescent="0.2"/>
    <row r="862" x14ac:dyDescent="0.2"/>
    <row r="863" x14ac:dyDescent="0.2"/>
    <row r="864" x14ac:dyDescent="0.2"/>
    <row r="865" x14ac:dyDescent="0.2"/>
    <row r="866" x14ac:dyDescent="0.2"/>
    <row r="867" x14ac:dyDescent="0.2"/>
    <row r="868" x14ac:dyDescent="0.2"/>
    <row r="869" x14ac:dyDescent="0.2"/>
    <row r="870" x14ac:dyDescent="0.2"/>
    <row r="871" x14ac:dyDescent="0.2"/>
    <row r="872" x14ac:dyDescent="0.2"/>
    <row r="873" x14ac:dyDescent="0.2"/>
    <row r="874" x14ac:dyDescent="0.2"/>
    <row r="875" x14ac:dyDescent="0.2"/>
    <row r="876" x14ac:dyDescent="0.2"/>
    <row r="877" x14ac:dyDescent="0.2"/>
    <row r="878" x14ac:dyDescent="0.2"/>
    <row r="879" x14ac:dyDescent="0.2"/>
    <row r="880" x14ac:dyDescent="0.2"/>
    <row r="881" x14ac:dyDescent="0.2"/>
    <row r="882" x14ac:dyDescent="0.2"/>
    <row r="883" x14ac:dyDescent="0.2"/>
    <row r="884" x14ac:dyDescent="0.2"/>
    <row r="885" x14ac:dyDescent="0.2"/>
    <row r="886" x14ac:dyDescent="0.2"/>
    <row r="887" x14ac:dyDescent="0.2"/>
    <row r="888" x14ac:dyDescent="0.2"/>
    <row r="889" x14ac:dyDescent="0.2"/>
    <row r="890" x14ac:dyDescent="0.2"/>
    <row r="891" x14ac:dyDescent="0.2"/>
    <row r="892" x14ac:dyDescent="0.2"/>
    <row r="893" x14ac:dyDescent="0.2"/>
    <row r="894" x14ac:dyDescent="0.2"/>
    <row r="895" x14ac:dyDescent="0.2"/>
    <row r="896" x14ac:dyDescent="0.2"/>
    <row r="897" x14ac:dyDescent="0.2"/>
    <row r="898" x14ac:dyDescent="0.2"/>
    <row r="899" x14ac:dyDescent="0.2"/>
    <row r="900" x14ac:dyDescent="0.2"/>
    <row r="901" x14ac:dyDescent="0.2"/>
    <row r="902" x14ac:dyDescent="0.2"/>
    <row r="903" x14ac:dyDescent="0.2"/>
    <row r="904" x14ac:dyDescent="0.2"/>
    <row r="905" x14ac:dyDescent="0.2"/>
    <row r="906" x14ac:dyDescent="0.2"/>
    <row r="907" x14ac:dyDescent="0.2"/>
    <row r="908" x14ac:dyDescent="0.2"/>
    <row r="909" x14ac:dyDescent="0.2"/>
    <row r="910" x14ac:dyDescent="0.2"/>
    <row r="911" x14ac:dyDescent="0.2"/>
    <row r="912" x14ac:dyDescent="0.2"/>
    <row r="913" x14ac:dyDescent="0.2"/>
    <row r="914" x14ac:dyDescent="0.2"/>
    <row r="915" x14ac:dyDescent="0.2"/>
    <row r="916" x14ac:dyDescent="0.2"/>
    <row r="917" x14ac:dyDescent="0.2"/>
    <row r="918" x14ac:dyDescent="0.2"/>
    <row r="919" x14ac:dyDescent="0.2"/>
    <row r="920" x14ac:dyDescent="0.2"/>
    <row r="921" x14ac:dyDescent="0.2"/>
    <row r="922" x14ac:dyDescent="0.2"/>
    <row r="923" x14ac:dyDescent="0.2"/>
    <row r="924" x14ac:dyDescent="0.2"/>
    <row r="925" x14ac:dyDescent="0.2"/>
    <row r="926" x14ac:dyDescent="0.2"/>
    <row r="927" x14ac:dyDescent="0.2"/>
    <row r="928" x14ac:dyDescent="0.2"/>
    <row r="929" x14ac:dyDescent="0.2"/>
    <row r="930" x14ac:dyDescent="0.2"/>
    <row r="931" x14ac:dyDescent="0.2"/>
    <row r="932" x14ac:dyDescent="0.2"/>
    <row r="933" x14ac:dyDescent="0.2"/>
    <row r="934" x14ac:dyDescent="0.2"/>
    <row r="935" x14ac:dyDescent="0.2"/>
    <row r="936" x14ac:dyDescent="0.2"/>
    <row r="937" x14ac:dyDescent="0.2"/>
    <row r="938" x14ac:dyDescent="0.2"/>
    <row r="939" x14ac:dyDescent="0.2"/>
    <row r="940" x14ac:dyDescent="0.2"/>
    <row r="941" x14ac:dyDescent="0.2"/>
    <row r="942" x14ac:dyDescent="0.2"/>
    <row r="943" x14ac:dyDescent="0.2"/>
    <row r="944" x14ac:dyDescent="0.2"/>
    <row r="945" x14ac:dyDescent="0.2"/>
    <row r="946" x14ac:dyDescent="0.2"/>
    <row r="947" x14ac:dyDescent="0.2"/>
    <row r="948" x14ac:dyDescent="0.2"/>
    <row r="949" x14ac:dyDescent="0.2"/>
    <row r="950" x14ac:dyDescent="0.2"/>
    <row r="951" x14ac:dyDescent="0.2"/>
    <row r="952" x14ac:dyDescent="0.2"/>
    <row r="953" x14ac:dyDescent="0.2"/>
    <row r="954" x14ac:dyDescent="0.2"/>
    <row r="955" x14ac:dyDescent="0.2"/>
    <row r="956" x14ac:dyDescent="0.2"/>
    <row r="957" x14ac:dyDescent="0.2"/>
    <row r="958" x14ac:dyDescent="0.2"/>
    <row r="959" x14ac:dyDescent="0.2"/>
    <row r="960" x14ac:dyDescent="0.2"/>
    <row r="961" x14ac:dyDescent="0.2"/>
    <row r="962" x14ac:dyDescent="0.2"/>
    <row r="963" x14ac:dyDescent="0.2"/>
    <row r="964" x14ac:dyDescent="0.2"/>
    <row r="965" x14ac:dyDescent="0.2"/>
    <row r="966" x14ac:dyDescent="0.2"/>
    <row r="967" x14ac:dyDescent="0.2"/>
    <row r="968" x14ac:dyDescent="0.2"/>
    <row r="969" x14ac:dyDescent="0.2"/>
    <row r="970" x14ac:dyDescent="0.2"/>
    <row r="971" x14ac:dyDescent="0.2"/>
    <row r="972" x14ac:dyDescent="0.2"/>
    <row r="973" x14ac:dyDescent="0.2"/>
    <row r="974" x14ac:dyDescent="0.2"/>
    <row r="975" x14ac:dyDescent="0.2"/>
    <row r="976" x14ac:dyDescent="0.2"/>
    <row r="977" x14ac:dyDescent="0.2"/>
    <row r="978" x14ac:dyDescent="0.2"/>
    <row r="979" x14ac:dyDescent="0.2"/>
    <row r="980" x14ac:dyDescent="0.2"/>
    <row r="981" x14ac:dyDescent="0.2"/>
    <row r="982" x14ac:dyDescent="0.2"/>
    <row r="983" x14ac:dyDescent="0.2"/>
    <row r="984" x14ac:dyDescent="0.2"/>
    <row r="985" x14ac:dyDescent="0.2"/>
    <row r="986" x14ac:dyDescent="0.2"/>
    <row r="987" x14ac:dyDescent="0.2"/>
    <row r="988" x14ac:dyDescent="0.2"/>
    <row r="989" x14ac:dyDescent="0.2"/>
    <row r="990" x14ac:dyDescent="0.2"/>
    <row r="991" x14ac:dyDescent="0.2"/>
    <row r="992" x14ac:dyDescent="0.2"/>
    <row r="993" x14ac:dyDescent="0.2"/>
    <row r="994" x14ac:dyDescent="0.2"/>
    <row r="995" x14ac:dyDescent="0.2"/>
    <row r="996" x14ac:dyDescent="0.2"/>
    <row r="997" x14ac:dyDescent="0.2"/>
    <row r="998" x14ac:dyDescent="0.2"/>
    <row r="999" x14ac:dyDescent="0.2"/>
    <row r="1000" x14ac:dyDescent="0.2"/>
  </sheetData>
  <dataValidations count="1">
    <dataValidation type="custom" allowBlank="1" showDropDown="1" sqref="D2:G331" xr:uid="{00000000-0002-0000-0300-000000000000}">
      <formula1>AND(ISNUMBER(D2),(NOT(OR(NOT(ISERROR(DATEVALUE(D2))), AND(ISNUMBER(D2), LEFT(CELL("format", D2))="D")))))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Facebook</vt:lpstr>
      <vt:lpstr>Google</vt:lpstr>
      <vt:lpstr>TikTok</vt:lpstr>
      <vt:lpstr>Unified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Shaik, Mahaboob Ali Chisti</cp:lastModifiedBy>
  <dcterms:created xsi:type="dcterms:W3CDTF">2026-06-08T19:06:30Z</dcterms:created>
  <dcterms:modified xsi:type="dcterms:W3CDTF">2026-06-08T19:06:30Z</dcterms:modified>
</cp:coreProperties>
</file>